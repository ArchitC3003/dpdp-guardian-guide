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Archi\Documents\DPDP\Framework\01 Workbook\Assesment Reports\Privacy Project Assessment\"/>
    </mc:Choice>
  </mc:AlternateContent>
  <xr:revisionPtr revIDLastSave="0" documentId="13_ncr:1_{2407E1C9-D84F-49D8-8A97-3DC08C08778A}" xr6:coauthVersionLast="47" xr6:coauthVersionMax="47" xr10:uidLastSave="{00000000-0000-0000-0000-000000000000}"/>
  <bookViews>
    <workbookView xWindow="-108" yWindow="-108" windowWidth="23256" windowHeight="12456" tabRatio="837" xr2:uid="{00000000-000D-0000-FFFF-FFFF00000000}"/>
  </bookViews>
  <sheets>
    <sheet name="ReadMe" sheetId="1" r:id="rId1"/>
    <sheet name="Express Evaluation" sheetId="2" r:id="rId2"/>
    <sheet name="RACI Matrix" sheetId="3" r:id="rId3"/>
    <sheet name="Assessment + Implementation" sheetId="4" r:id="rId4"/>
    <sheet name="Granular Controls" sheetId="5" r:id="rId5"/>
    <sheet name="Compliance Dashboard" sheetId="6" r:id="rId6"/>
    <sheet name="Framework Guide" sheetId="7" r:id="rId7"/>
    <sheet name="Claude Log" sheetId="9" state="hidden" r:id="rId8"/>
    <sheet name="EP - Self Assessment" sheetId="10" state="hidden" r:id="rId9"/>
    <sheet name="DPDP Assessment" sheetId="8" state="hidden" r:id="rId10"/>
  </sheets>
  <definedNames>
    <definedName name="_xlnm.Print_Area" localSheetId="0">ReadMe!$A$1:$E$101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4" i="6" l="1"/>
  <c r="I13" i="6"/>
  <c r="I12" i="6"/>
  <c r="I11" i="6"/>
  <c r="I10" i="6"/>
  <c r="F36" i="6"/>
  <c r="E36" i="6"/>
  <c r="D36" i="6"/>
  <c r="C36" i="6"/>
  <c r="B36" i="6"/>
  <c r="F35" i="6"/>
  <c r="E35" i="6"/>
  <c r="D35" i="6"/>
  <c r="C35" i="6"/>
  <c r="B35" i="6"/>
  <c r="F34" i="6"/>
  <c r="E34" i="6"/>
  <c r="D34" i="6"/>
  <c r="C34" i="6"/>
  <c r="B34" i="6"/>
  <c r="F33" i="6"/>
  <c r="E33" i="6"/>
  <c r="D33" i="6"/>
  <c r="C33" i="6"/>
  <c r="B33" i="6"/>
  <c r="F32" i="6"/>
  <c r="E32" i="6"/>
  <c r="D32" i="6"/>
  <c r="C32" i="6"/>
  <c r="B32" i="6"/>
  <c r="F31" i="6"/>
  <c r="E31" i="6"/>
  <c r="D31" i="6"/>
  <c r="C31" i="6"/>
  <c r="B31" i="6"/>
  <c r="F30" i="6"/>
  <c r="E30" i="6"/>
  <c r="D30" i="6"/>
  <c r="C30" i="6"/>
  <c r="B30" i="6"/>
  <c r="F29" i="6"/>
  <c r="E29" i="6"/>
  <c r="D29" i="6"/>
  <c r="C29" i="6"/>
  <c r="B29" i="6"/>
  <c r="F28" i="6"/>
  <c r="E28" i="6"/>
  <c r="D28" i="6"/>
  <c r="C28" i="6"/>
  <c r="B28" i="6"/>
  <c r="F27" i="6"/>
  <c r="E27" i="6"/>
  <c r="D27" i="6"/>
  <c r="C27" i="6"/>
  <c r="B27" i="6"/>
  <c r="F26" i="6"/>
  <c r="E26" i="6"/>
  <c r="D26" i="6"/>
  <c r="C26" i="6"/>
  <c r="B26" i="6"/>
  <c r="F25" i="6"/>
  <c r="E25" i="6"/>
  <c r="D25" i="6"/>
  <c r="C25" i="6"/>
  <c r="B25" i="6"/>
  <c r="E20" i="6"/>
  <c r="D20" i="6"/>
  <c r="C20" i="6"/>
  <c r="B20" i="6"/>
  <c r="A20" i="6"/>
  <c r="F15" i="6"/>
  <c r="E15" i="6"/>
  <c r="D15" i="6"/>
  <c r="C15" i="6"/>
  <c r="B15" i="6"/>
  <c r="A15" i="6"/>
  <c r="F11" i="6"/>
  <c r="E11" i="6"/>
  <c r="D11" i="6"/>
  <c r="C11" i="6"/>
  <c r="B11" i="6"/>
  <c r="A11" i="6"/>
  <c r="I5" i="6"/>
  <c r="G5" i="6"/>
  <c r="E5" i="6"/>
  <c r="C5" i="6"/>
  <c r="A5" i="6"/>
  <c r="H101" i="4"/>
  <c r="G101" i="4"/>
  <c r="H100" i="4"/>
  <c r="G100" i="4"/>
  <c r="H99" i="4"/>
  <c r="G99" i="4"/>
  <c r="H98" i="4"/>
  <c r="G98" i="4"/>
  <c r="H97" i="4"/>
  <c r="G97" i="4"/>
  <c r="H96" i="4"/>
  <c r="G96" i="4"/>
  <c r="H95" i="4"/>
  <c r="G95" i="4"/>
  <c r="H94" i="4"/>
  <c r="G94" i="4"/>
  <c r="H93" i="4"/>
  <c r="G93" i="4"/>
  <c r="H92" i="4"/>
  <c r="G92" i="4"/>
  <c r="H91" i="4"/>
  <c r="G91" i="4"/>
  <c r="H90" i="4"/>
  <c r="G90" i="4"/>
  <c r="H86" i="4"/>
  <c r="G86" i="4" a="1"/>
  <c r="G86" i="4" s="1"/>
  <c r="H85" i="4"/>
  <c r="G85" i="4" a="1"/>
  <c r="G85" i="4" s="1"/>
  <c r="E85" i="4" s="1"/>
  <c r="H84" i="4"/>
  <c r="G84" i="4" a="1"/>
  <c r="G84" i="4" s="1"/>
  <c r="H83" i="4"/>
  <c r="G83" i="4" a="1"/>
  <c r="G83" i="4" s="1"/>
  <c r="H82" i="4"/>
  <c r="G82" i="4"/>
  <c r="E87" i="4" s="1"/>
  <c r="I101" i="10"/>
  <c r="H101" i="10"/>
  <c r="G101" i="10"/>
  <c r="I100" i="10"/>
  <c r="H100" i="10"/>
  <c r="G100" i="10"/>
  <c r="I99" i="10"/>
  <c r="H99" i="10"/>
  <c r="G99" i="10"/>
  <c r="I98" i="10"/>
  <c r="H98" i="10"/>
  <c r="G98" i="10"/>
  <c r="I97" i="10"/>
  <c r="H97" i="10"/>
  <c r="G97" i="10"/>
  <c r="I96" i="10"/>
  <c r="H96" i="10"/>
  <c r="G96" i="10"/>
  <c r="I95" i="10"/>
  <c r="H95" i="10"/>
  <c r="G95" i="10"/>
  <c r="I94" i="10"/>
  <c r="H94" i="10"/>
  <c r="G94" i="10"/>
  <c r="I93" i="10"/>
  <c r="H93" i="10"/>
  <c r="G93" i="10"/>
  <c r="I92" i="10"/>
  <c r="H92" i="10"/>
  <c r="G92" i="10"/>
  <c r="I91" i="10"/>
  <c r="H91" i="10"/>
  <c r="G91" i="10"/>
  <c r="I90" i="10"/>
  <c r="H90" i="10"/>
  <c r="G90" i="10"/>
  <c r="I86" i="10"/>
  <c r="H86" i="10"/>
  <c r="G86" i="10" a="1"/>
  <c r="G86" i="10" s="1"/>
  <c r="I85" i="10"/>
  <c r="H85" i="10"/>
  <c r="G85" i="10" a="1"/>
  <c r="G85" i="10" s="1"/>
  <c r="I84" i="10"/>
  <c r="H84" i="10"/>
  <c r="G84" i="10" a="1"/>
  <c r="G84" i="10" s="1"/>
  <c r="I83" i="10"/>
  <c r="H83" i="10"/>
  <c r="G83" i="10" a="1"/>
  <c r="G83" i="10" s="1"/>
  <c r="I82" i="10"/>
  <c r="H82" i="10"/>
  <c r="G82" i="10"/>
  <c r="H102" i="8"/>
  <c r="G102" i="8"/>
  <c r="F102" i="8"/>
  <c r="H101" i="8"/>
  <c r="G101" i="8"/>
  <c r="F101" i="8"/>
  <c r="H100" i="8"/>
  <c r="G100" i="8"/>
  <c r="F100" i="8"/>
  <c r="H99" i="8"/>
  <c r="G99" i="8"/>
  <c r="F99" i="8"/>
  <c r="H98" i="8"/>
  <c r="G98" i="8"/>
  <c r="F98" i="8"/>
  <c r="H97" i="8"/>
  <c r="G97" i="8"/>
  <c r="F97" i="8"/>
  <c r="H96" i="8"/>
  <c r="G96" i="8"/>
  <c r="F96" i="8"/>
  <c r="H95" i="8"/>
  <c r="G95" i="8"/>
  <c r="F95" i="8"/>
  <c r="H94" i="8"/>
  <c r="G94" i="8"/>
  <c r="F94" i="8"/>
  <c r="H93" i="8"/>
  <c r="G93" i="8"/>
  <c r="F93" i="8"/>
  <c r="H92" i="8"/>
  <c r="G92" i="8"/>
  <c r="F92" i="8"/>
  <c r="H88" i="8"/>
  <c r="G88" i="8"/>
  <c r="F88" i="8" a="1"/>
  <c r="F88" i="8" s="1"/>
  <c r="H87" i="8"/>
  <c r="G87" i="8"/>
  <c r="F87" i="8" a="1"/>
  <c r="F87" i="8" s="1"/>
  <c r="H86" i="8"/>
  <c r="G86" i="8"/>
  <c r="F86" i="8" a="1"/>
  <c r="F86" i="8" s="1"/>
  <c r="H85" i="8"/>
  <c r="G85" i="8"/>
  <c r="F85" i="8" a="1"/>
  <c r="F85" i="8" s="1"/>
  <c r="H84" i="8"/>
  <c r="G84" i="8"/>
  <c r="F84" i="8"/>
  <c r="B41" i="2"/>
  <c r="D38" i="2"/>
  <c r="C38" i="2"/>
  <c r="B38" i="2"/>
  <c r="F35" i="2"/>
  <c r="F34" i="2"/>
  <c r="F33" i="2"/>
  <c r="F32" i="2"/>
  <c r="F31" i="2"/>
  <c r="F30" i="2"/>
  <c r="F28" i="2"/>
  <c r="F27" i="2"/>
  <c r="F26" i="2"/>
  <c r="F25" i="2"/>
  <c r="F24" i="2"/>
  <c r="F23" i="2"/>
  <c r="F22" i="2"/>
  <c r="F21" i="2"/>
  <c r="F19" i="2"/>
  <c r="F18" i="2"/>
  <c r="F17" i="2"/>
  <c r="F16" i="2"/>
  <c r="F15" i="2"/>
  <c r="F14" i="2"/>
  <c r="F13" i="2"/>
  <c r="F11" i="2"/>
  <c r="F10" i="2"/>
  <c r="F9" i="2"/>
  <c r="F8" i="2"/>
  <c r="F7" i="2"/>
  <c r="E83" i="4" l="1"/>
  <c r="E84" i="4"/>
  <c r="E8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<sst xmlns="http://schemas.openxmlformats.org/spreadsheetml/2006/main" count="6105" uniqueCount="2711">
  <si>
    <t>DPDP COMPLIANCE FRAMEWORK</t>
  </si>
  <si>
    <t>OPERATIONAL GUIDE  |  READ THIS FIRST</t>
  </si>
  <si>
    <t>1.  WHAT IS THIS DOCUMENT &amp; WHY IT EXISTS</t>
  </si>
  <si>
    <t>Document Identity</t>
  </si>
  <si>
    <t>This workbook is a complete, operationally-ready DPDP Compliance Framework built on India’s Digital Personal Data Protection Act, 2023 and the DPDP Rules, 2025. It is not a legal commentary or academic reference — it is a working instrument designed to be your organisation’s central compliance programme artefact from Day 1 through audit-readiness.</t>
  </si>
  <si>
    <t>Design Philosophy</t>
  </si>
  <si>
    <t>The framework bridges two gaps that commonly cause compliance programmes to stall: (a) the gap between legal interpretation and operational implementation, and (b) the gap between knowing what to do and knowing who does it, by when, and with what evidence. Every sheet in this workbook serves a distinct function in closing those gaps.</t>
  </si>
  <si>
    <t>Intended Users</t>
  </si>
  <si>
    <t>DPO / Privacy Office (primary owner)  |  CISO / InfoSec  |  Legal &amp; Compliance  |  IT &amp; Engineering leadership  |  HR leadership  |  Product &amp; UX leads  |  Business Unit Heads  |  Procurement &amp; Vendor Management  |  Board / Executive sponsors  |  External auditors (read-only for Assessment + Dashboard sheets).</t>
  </si>
  <si>
    <t>Scope &amp; Coverage</t>
  </si>
  <si>
    <t>2.  FRAMEWORK ARCHITECTURE  —  HOW THE SHEETS CONNECT</t>
  </si>
  <si>
    <t>The six sheets form a sequential, dependency-linked workflow. Each sheet feeds the next. Skipping sheets creates gaps that compound downstream. Follow the numbered sequence below.</t>
  </si>
  <si>
    <t>❶  Express Evaluation</t>
  </si>
  <si>
    <t>ENTRY POINT. Determines which controls apply to your organisation. Drives everything downstream. Without this, teams implement controls that don’t apply — or worse, miss controls that do.</t>
  </si>
  <si>
    <t>OUTPUT:  Completed evaluation with all 26 questions answered. Entity classification confirmed. Applicable domains identified.</t>
  </si>
  <si>
    <t>❷  RACI Matrix</t>
  </si>
  <si>
    <t>OWNERSHIP LAYER. Assigns functional and business-unit responsibility to every control. Without clear ownership, controls remain orphaned and unimplemented.</t>
  </si>
  <si>
    <t>OUTPUT:  Every control row has at least one ‘A’ (Accountable) and one ‘R’ (Responsible). BU columns populated if D6=Yes in Express Evaluation.</t>
  </si>
  <si>
    <t>❸  Assessment + Implementation</t>
  </si>
  <si>
    <t>OUTPUT:  All 73 items assessed for current state. Gap descriptions documented. Action plans, owners, target dates, and budgets assigned for every non-compliant item.</t>
  </si>
  <si>
    <t>❹  Granular Controls</t>
  </si>
  <si>
    <t>ENGINEERING LAYER. 340 discrete controls for teams building systems, configuring platforms, and writing policies. Each control now carries its own assessment and implementation tracking columns.</t>
  </si>
  <si>
    <t>OUTPUT:  Granular controls filtered by applicability. Technical teams have specific, verifiable implementation targets.</t>
  </si>
  <si>
    <t>❺  Compliance Dashboard</t>
  </si>
  <si>
    <t>GOVERNANCE VIEW. Formula-driven summary of programme health. Shows assessment status distribution, implementation progress, risk heat, and overall compliance/evidence readiness percentages.</t>
  </si>
  <si>
    <t>OUTPUT:  Live dashboard reflecting real-time data from the Assessment + Implementation sheet. Board-reportable at any time.</t>
  </si>
  <si>
    <t>❻  Framework Guide</t>
  </si>
  <si>
    <t>REFERENCE LAYER. Definitions, maturity model, lifecycle stages, RACI conventions, BU bifurcation guidance, and risk calibration. Consult when any term or concept is unclear.</t>
  </si>
  <si>
    <t>OUTPUT:  Shared understanding across all stakeholders of what each term, status, and rating means.</t>
  </si>
  <si>
    <t>TIP</t>
  </si>
  <si>
    <t>Think of the sheets as layers of a pyramid: Express Evaluation is the foundation (scope), RACI is the structure (ownership), Assessment+Implementation is the operating floor (execution), Granular Controls are the building blocks (engineering), Dashboard is the roof (visibility), and the Guide is the blueprint (definitions).</t>
  </si>
  <si>
    <t>3.  STEP-BY-STEP EXECUTION PLAYBOOK  —  YOUR FIRST 30 DAYS</t>
  </si>
  <si>
    <t>Follow these steps in sequence. Each step has a defined owner, duration, and verifiable output. Do not proceed to the next step until the current step’s output is confirmed.</t>
  </si>
  <si>
    <t>STEP
1</t>
  </si>
  <si>
    <t>❶  COMPLETE THE EXPRESS EVALUATION  (Sheet: Express Evaluation)</t>
  </si>
  <si>
    <t>WHAT:  Convene a cross-functional kick-off with DPO, Legal, CISO, HR Head, and a senior business representative. Walk through all 26 questions across Sections A–D. Answer every question using the dropdown in Column E. Review the auto-computed Applicability Result in Column F and the mapped control domains in Column G.</t>
  </si>
  <si>
    <t>WHY:  This is your compliance scope definition. Every subsequent sheet is filtered and prioritised based on these answers. An incorrect classification here (e.g., treating yourself as a standard DF when you’re an SDF) cascades into missed obligations across the entire programme.</t>
  </si>
  <si>
    <t>WHO:  DPO / Privacy Office (facilitator)  +  Legal (classification advisor)  +  CISO (security scope)  +  HR (employment data)  +  Business Unit Heads (BU determination)</t>
  </si>
  <si>
    <t>DURATION:  Half-day workshop  (2–4 hours, including discussion and sign-off)</t>
  </si>
  <si>
    <t>OUTPUT:  Signed-off Express Evaluation with all 26 responses. Entity classification documented. List of applicable control domains extracted for downstream filtering.</t>
  </si>
  <si>
    <t>&gt;&gt;</t>
  </si>
  <si>
    <t>Pro tip: Print or project the Express Evaluation during the kick-off. Make it a collaborative exercise, not a form-filling task. Disagreements at this stage are valuable — they surface scope ambiguities that would otherwise emerge as compliance gaps months later.</t>
  </si>
  <si>
    <t>STEP
2</t>
  </si>
  <si>
    <t>❷  CUSTOMISE THE RACI MATRIX  (Sheet: RACI Matrix)</t>
  </si>
  <si>
    <t>WHAT:  Using the Express Evaluation outputs, review each control row in the RACI Matrix. Confirm or adjust pre-populated RACI assignments to match your organisation’s actual structure. If Express Evaluation D6 = Yes (multiple BUs), populate the BU columns (M, N, O) with named roles from each business unit. Mark controls as ‘Not Applicable’ in the Risk Priority column if the Express Evaluation determined they’re out of scope.</t>
  </si>
  <si>
    <t>WHY:  Without explicit ownership, controls exist on paper but not in practice. The RACI Matrix converts abstract obligations into named accountabilities. It also prevents the common failure mode where ‘everyone is responsible’ (meaning no one is).</t>
  </si>
  <si>
    <t>WHO:  DPO / Privacy Office (orchestrator)  +  Each functional head confirms their ‘R’ and ‘A’ assignments  +  BU Heads nominate BU Privacy Champions and BU IT Leads</t>
  </si>
  <si>
    <t>DURATION:  1–2 working days  (individual function reviews + one alignment meeting)</t>
  </si>
  <si>
    <t>OUTPUT:  Fully customised RACI Matrix. Every applicable control has exactly one ‘A’ and at least one ‘R’. BU columns populated where applicable. Non-applicable controls marked.</t>
  </si>
  <si>
    <t>!!</t>
  </si>
  <si>
    <t>Common mistake: Assigning ‘A’ (Accountable) to more than one function per control. Accountability must be singular. If two functions share accountability, the control will fall between chairs during execution. Resolve dual-accountability during this step, not during an audit.</t>
  </si>
  <si>
    <t>STEP
3</t>
  </si>
  <si>
    <t>❸  CONDUCT BASELINE ASSESSMENT  (Sheet: Assessment + Implementation — Assessment Area)</t>
  </si>
  <si>
    <t>WHY:  You cannot build a remediation plan without knowing your starting position. This step produces the gap register — the single most important artefact for programme planning, budgeting, and board reporting. It also immediately populates the Compliance Dashboard.</t>
  </si>
  <si>
    <t>WHO:  DPO leads assessment  +  CISO assesses security controls (Items 12–17)  +  Legal assesses consent/notice/rights (Items 1–5, 56–62)  +  IT assesses technical controls  +  HR assesses employment controls</t>
  </si>
  <si>
    <t>DURATION:  1–2 weeks  (assessment interviews, evidence collection, gap documentation)</t>
  </si>
  <si>
    <t>OUTPUT:  Completed Assessment Area for all 73 items. Gap register with risk ratings. Dashboard showing current compliance posture. Board-ready baseline report.</t>
  </si>
  <si>
    <t>Assess honestly. The temptation is to mark items as ‘Partially Compliant’ when they are closer to ‘Non-Compliant’. Use L0–L4 maturity as a forcing function: if no documented policy or procedure exists, it’s L0 (Absent), regardless of informal practices. Auditors will test against documented, verifiable evidence — not tribal knowledge.</t>
  </si>
  <si>
    <t>STEP
4</t>
  </si>
  <si>
    <t>❹  BUILD THE IMPLEMENTATION PLAN  (Sheet: Assessment + Implementation — Implementation Area)</t>
  </si>
  <si>
    <t>WHY:  This converts the gap register into an executable project plan. Without named owners, specific actions, and deadlines, gaps remain documented but unresolved. This step is where compliance transitions from assessment to implementation.</t>
  </si>
  <si>
    <t>WHO:  DPO / Programme Manager builds the plan  +  Each Accountable Owner validates feasibility, timeline, and budget  +  CFO/Finance reviews budget estimates  +  Executive sponsor approves the consolidated plan</t>
  </si>
  <si>
    <t>DURATION:  3–5 working days  (plan drafting + owner validation + executive sign-off)</t>
  </si>
  <si>
    <t>OUTPUT:  Completed Implementation Area for all gap items. Named owners. Realistic target dates. Specific, verifiable action plans. Approved budget. Dashboard reflecting implementation trajectory.</t>
  </si>
  <si>
    <t>Link action plans to specific deliverables, not activities. ‘Implement consent mechanism’ is an activity. ‘Deploy consent SDK on web + mobile with granular purpose selection, withdrawal parity, and timestamped logging — tested and in production’ is a deliverable. The latter is auditable; the former is not.</t>
  </si>
  <si>
    <t>STEP
5</t>
  </si>
  <si>
    <t>❺  DEPLOY GRANULAR CONTROLS TO ENGINEERING &amp; PROCESS TEAMS  (Sheet: Granular Controls)</t>
  </si>
  <si>
    <t>WHAT:  Filter the 340 granular controls by Applicability (referencing Express Evaluation results). Distribute relevant control sub-sets to owning teams: A-series (consent, notice, UI/UX) to Product + Legal, B-series (lawful processing, employment, biometrics) to Legal + HR + IT, C-series (security, breach) to CISO + IT. Each team assesses and tracks their controls using Columns H–N.</t>
  </si>
  <si>
    <t>WHY:  The Compliance Worksheet (73 items) tells you what to comply with. The Granular Controls tell engineering and process teams exactly how. This is the bridge between compliance language and system configuration, code changes, and process documentation.</t>
  </si>
  <si>
    <t>WHO:  DPO distributes filtered control sets  +  Product/Engineering owns A-series implementation  +  CISO/IT owns C-series  +  Legal + HR + Ops own B-series  +  Each team updates their tracking columns weekly</t>
  </si>
  <si>
    <t>DURATION:  Ongoing  (initial distribution: 1–2 days; tracking: continuous)</t>
  </si>
  <si>
    <t>OUTPUT:  Filtered, assigned granular control registers. Teams have specific, verifiable implementation targets. Weekly status updates flow into programme tracking.</t>
  </si>
  <si>
    <t>STEP
6</t>
  </si>
  <si>
    <t>❻  ESTABLISH EVIDENCE COLLECTION &amp; GOVERNANCE CADENCE  (Sheets: Assessment + Implementation, Dashboard)</t>
  </si>
  <si>
    <t>WHY:  Compliance without evidence is assertion without proof. Regulators and auditors will not accept stated compliance — they will test against documented, retrievable, timestamped evidence. The governance cadence ensures the framework remains a living instrument, not a one-time exercise.</t>
  </si>
  <si>
    <t>WHO:  DPO / Programme Manager establishes cadence  +  Each Accountable Owner maintains their evidence  +  Internal Audit validates evidence quality  +  Board / Executive reviews Dashboard quarterly</t>
  </si>
  <si>
    <t>DURATION:  Setup: 1 week  |  Ongoing: weekly standups (30 min), monthly reviews (2 hrs), quarterly board report (1 hr prep)</t>
  </si>
  <si>
    <t>OUTPUT:  Evidence register populated. Artefact locations documented. Governance calendar established. Dashboard reporting to board on defined cadence. Audit-readiness trajectory visible.</t>
  </si>
  <si>
    <t>Do not wait until implementation is complete to start evidence collection. Evidence should be generated as a by-product of implementation, not retrospectively assembled before an audit. Configure systems to produce evidence automatically: timestamped consent logs, access control reports, breach simulation records, training completion certificates.</t>
  </si>
  <si>
    <t>4.  RECOMMENDED GOVERNANCE CADENCE</t>
  </si>
  <si>
    <t>Frequency</t>
  </si>
  <si>
    <t>Activity   |   Participants   |   Duration</t>
  </si>
  <si>
    <t>Purpose &amp; Key Activities</t>
  </si>
  <si>
    <t>Weekly</t>
  </si>
  <si>
    <t>Implementation Standup
DPO + Control Owners
15–30 min</t>
  </si>
  <si>
    <t>Review implementation status changes. Unblock dependencies. Update % Complete. Flag risks escalating from Medium to High/Critical.</t>
  </si>
  <si>
    <t>Fortnightly</t>
  </si>
  <si>
    <t>Evidence Review
DPO + Internal Audit
1 hour</t>
  </si>
  <si>
    <t>Validate evidence quality for recently completed controls. Transition Evidence Status from ‘Collected’ to ‘Validated’. Identify evidence gaps early.</t>
  </si>
  <si>
    <t>Monthly</t>
  </si>
  <si>
    <t>Programme Review
DPO + All Function Heads
2 hours</t>
  </si>
  <si>
    <t>Full programme health review using Dashboard. Assess assessment-to-implementation conversion rate. Review risk distribution trends. Reallocate resources if needed.</t>
  </si>
  <si>
    <t>Quarterly</t>
  </si>
  <si>
    <t>Board / Executive Report
DPO + Exec Sponsor
1 hour</t>
  </si>
  <si>
    <t>Present Dashboard KPIs to Board. Compliance Rate %, Implementation Rate %, Evidence Readiness %, Critical/High gaps open. Seek decisions on budget, timeline, or scope changes.</t>
  </si>
  <si>
    <t>Annually</t>
  </si>
  <si>
    <t>Full Reassessment
DPO + External Auditor
2–4 weeks</t>
  </si>
  <si>
    <t>Complete fresh baseline assessment. Re-run Express Evaluation (entity/processing scope may have changed). Engage independent auditor for SDF obligations (DPIA + Audit per Rule 13).</t>
  </si>
  <si>
    <t>5.  COMMON PITFALLS &amp; HOW TO AVOID THEM</t>
  </si>
  <si>
    <t>⚠</t>
  </si>
  <si>
    <t>Skipping the Express Evaluation
PROBLEM:  Teams jump directly to the Assessment or RACI sheets without determining applicability. This leads to wasted effort on non-applicable controls and missed obligations on applicable ones.</t>
  </si>
  <si>
    <t>SOLUTION:  Always start with Express Evaluation. Treat it as a mandatory gate before any other sheet is touched.</t>
  </si>
  <si>
    <t>Assessing without implementing
PROBLEM:  The Assessment Area is completed with detailed gap descriptions, but the Implementation Area remains empty. The gap register becomes a static document rather than a project plan.</t>
  </si>
  <si>
    <t>SOLUTION:  Pair every assessment session with an implementation planning session. Never document a gap without simultaneously assigning an owner and target date.</t>
  </si>
  <si>
    <t>Generic RACI assignments
PROBLEM:  RACI is completed with function names (‘IT’, ‘Legal’) but no individual names. When escalation is needed, there’s no one to escalate to.</t>
  </si>
  <si>
    <t>SOLUTION:  Append individual names to function assignments. ‘CISO — [Name]’ is accountable; ‘InfoSec’ is not.</t>
  </si>
  <si>
    <t>Evidence as an afterthought
PROBLEM:  Controls are implemented but evidence is not collected during implementation. When audit arrives, teams scramble to reconstruct evidence retrospectively.</t>
  </si>
  <si>
    <t>SOLUTION:  Build evidence generation into the implementation process itself. If a control requires ‘timestamped consent logs’, the implementation must include the logging mechanism, not just the consent UI.</t>
  </si>
  <si>
    <t>Treating this as a one-time exercise
PROBLEM:  Framework is completed, filed, and forgotten. Six months later, new processing activities have been launched without compliance assessment.</t>
  </si>
  <si>
    <t>SOLUTION:  Establish the governance cadence in Section 4. Integrate the Express Evaluation into your change management process: any new product, feature, vendor, or data flow triggers a reassessment.</t>
  </si>
  <si>
    <t>Ignoring Business Unit bifurcation
PROBLEM:  Central team completes compliance for HQ but BU-specific processing activities (different products, geographies, customer segments) are missed.</t>
  </si>
  <si>
    <t>SOLUTION:  If your organisation has multiple BUs processing personal data independently, BU columns must be active. Each BU needs a named Privacy Champion embedded in the BU.</t>
  </si>
  <si>
    <t>Over-indexing on Granular Controls
PROBLEM:  Teams attempt to implement all 340 granular controls simultaneously, overwhelming engineering capacity.</t>
  </si>
  <si>
    <t>SOLUTION:  Use the Granular Controls sheet selectively. Filter by applicability first (Express Evaluation), then prioritise by risk rating (Critical and High first). The 73-item Compliance Worksheet is your programme backbone; Granular Controls are the engineering detail layer.</t>
  </si>
  <si>
    <t>6.  QUICK-START PATHS  —  WHERE TO BEGIN BASED ON YOUR ROLE</t>
  </si>
  <si>
    <t>DPO / Privacy Officer</t>
  </si>
  <si>
    <t>You own this framework. Start with Express Evaluation (facilitate the kick-off), then customise the RACI Matrix, lead the baseline Assessment, build the Implementation Plan, and own the governance cadence. Your primary operating sheets are Assessment + Implementation and Dashboard.</t>
  </si>
  <si>
    <t>CISO / InfoSec Lead</t>
  </si>
  <si>
    <t>Your domain is Items 12–17 (Security Safeguards), Items 18–23 (Breach Notification), and the C1/C1.1 series in Granular Controls. Start by assessing current security posture against Rule 6(a)–(g). Build breach notification playbook against Rule 7. Own evidence for encryption, ACL, logging, backup, and monitoring controls.</t>
  </si>
  <si>
    <t>Legal &amp; Compliance Head</t>
  </si>
  <si>
    <t>Your domain spans consent validity (Items 1–5), notice compliance (Rule 3/4), children’s data exemptions (Items 33–48), cross-border transfer (Items 64–65), and rights framework (Items 56–62). Validate legal basis classification in the RACI Matrix. Own the legal-privacy position for each control.</t>
  </si>
  <si>
    <t>IT / Engineering Lead</t>
  </si>
  <si>
    <t>You implement what Legal and DPO design. Focus on Granular Controls A6–A8 (consent UI/UX), C1 (security engineering), and the technical aspects of rights fulfilment, retention automation, and breach detection. Your primary sheet is Granular Controls, filtered by your applicable sections.</t>
  </si>
  <si>
    <t>HR / People Operations</t>
  </si>
  <si>
    <t>Your domain is employment data processing under Section 7(i): B5.1–B5.5 in Granular Controls (HR operations, workplace security, biometrics, employee benefits). Assess current HR systems against legitimate use requirements and biometric governance controls.</t>
  </si>
  <si>
    <t>Business Unit Head</t>
  </si>
  <si>
    <t>If your BU processes personal data independently, you are Accountable for BU-level compliance. Ensure your BU Privacy Champion and BU IT Lead are nominated and active in the RACI Matrix. Review the Express Evaluation to confirm your BU’s processing scope is captured. Track BU-specific implementation progress.</t>
  </si>
  <si>
    <t>Board / Executive Sponsor</t>
  </si>
  <si>
    <t>Your primary interface is the Compliance Dashboard. Review quarterly. Key metrics: Compliance Rate %, Implementation Rate %, Evidence Readiness %, Critical/High gaps open. Approve programme budget and timeline. Escalate when Critical gaps remain unresolved beyond target dates.</t>
  </si>
  <si>
    <t>7.  VERSION CONTROL &amp; MAINTENANCE PROTOCOL</t>
  </si>
  <si>
    <t>Current Version</t>
  </si>
  <si>
    <t>v1.0  —  February 2026  |  Initial framework release covering DPDP Act 2023 + DPDP Rules 2025</t>
  </si>
  <si>
    <t>Update Triggers</t>
  </si>
  <si>
    <t>This framework must be updated when: (a) the Central Government issues new rules, notifications, or amendments; (b) the Data Protection Board publishes guidance, enforcement orders, or registration standards; (c) your organisation’s entity classification changes (e.g., notified as SDF); (d) new processing activities, products, or data flows are introduced; (e) annual reassessment reveals new gaps or changed risk posture.</t>
  </si>
  <si>
    <t>Version Log Protocol</t>
  </si>
  <si>
    <t>Maintain a version log (can be a separate tab or external register): Version Number | Date | Author | Change Description | Sections Affected | Approval. Distribute updated versions to all stakeholders listed in ‘Intended Users’ above. Archive previous versions for audit trail.</t>
  </si>
  <si>
    <t>Backup &amp; Access Control</t>
  </si>
  <si>
    <t>Store this workbook in a controlled-access repository (SharePoint, GDrive with restricted permissions, or GRC platform). Maintain automated backups. Restrict edit access to DPO / Programme Office. Provide read-only access to auditors and Board members. Log access for sensitive versions.</t>
  </si>
  <si>
    <t>BEGIN HERE  ➡  Navigate to the ‘Express Evaluation’ sheet tab and start with Section A, Question A1.  Everything flows from there.</t>
  </si>
  <si>
    <t>DPDP COMPLIANCE FRAMEWORK — EXPRESS EVALUATION SHEET</t>
  </si>
  <si>
    <t>Purpose: Complete this evaluation to determine applicable compliance control domains, entity classification, and regulatory obligation scope under the DPDP Act 2023 &amp; Rules 2025.</t>
  </si>
  <si>
    <t>Instructions: Answer each question using the Response column dropdown. The Applicability Result column auto-computes your applicable control domains. Complete Section A first — downstream sections depend on your entity classification.</t>
  </si>
  <si>
    <t>#</t>
  </si>
  <si>
    <t>Section</t>
  </si>
  <si>
    <t>Evaluation Question</t>
  </si>
  <si>
    <t>Response Options</t>
  </si>
  <si>
    <t>Your Response</t>
  </si>
  <si>
    <t>Applicability Result</t>
  </si>
  <si>
    <t>Applicable Control Domain(s)</t>
  </si>
  <si>
    <t>Compliance Worksheet Reference</t>
  </si>
  <si>
    <t>SECTION A — ENTITY CLASSIFICATION &amp; ROLE DETERMINATION</t>
  </si>
  <si>
    <t>A1</t>
  </si>
  <si>
    <t>Entity Classification</t>
  </si>
  <si>
    <t>Does your organisation determine the purpose and means of processing personal data?</t>
  </si>
  <si>
    <t>Yes / No</t>
  </si>
  <si>
    <t>All DF controls (Items 1–74)</t>
  </si>
  <si>
    <t>Items 1–5, 12–17</t>
  </si>
  <si>
    <t>A2</t>
  </si>
  <si>
    <t>Has the Central Government notified your organisation as a Significant Data Fiduciary (SDF)?</t>
  </si>
  <si>
    <t>Yes / No / Pending</t>
  </si>
  <si>
    <t>SDF controls: DPO, DPIA, Audit, Algo Due-Diligence</t>
  </si>
  <si>
    <t>Items 49–55</t>
  </si>
  <si>
    <t>A3</t>
  </si>
  <si>
    <t>Does your organisation intend to operate or currently operate as a Consent Manager?</t>
  </si>
  <si>
    <t>CM controls: Registration, Operations, Board Compliance</t>
  </si>
  <si>
    <t>Items 6–11</t>
  </si>
  <si>
    <t>A4</t>
  </si>
  <si>
    <t>Does your organisation process personal data on behalf of another entity (as a Data Processor)?</t>
  </si>
  <si>
    <t>Processor-facing controls in Items 16, 29</t>
  </si>
  <si>
    <t>Items 16, 29</t>
  </si>
  <si>
    <t>A5</t>
  </si>
  <si>
    <t>Is your organisation classified under Third Schedule (E-Commerce, E-Gaming, Social Media Intermediary)?</t>
  </si>
  <si>
    <t>Retention &amp; Erasure: Items 24–28</t>
  </si>
  <si>
    <t>Items 24–28</t>
  </si>
  <si>
    <t>SECTION B — PROCESSING SCOPE &amp; DATA CATEGORIES</t>
  </si>
  <si>
    <t>B1</t>
  </si>
  <si>
    <t>Processing Scope</t>
  </si>
  <si>
    <t>Does your organisation collect personal data directly from Data Principals (individuals)?</t>
  </si>
  <si>
    <t>Consent &amp; Notice: A1–A2 series, Items 1–5</t>
  </si>
  <si>
    <t>Items 1–5</t>
  </si>
  <si>
    <t>B2</t>
  </si>
  <si>
    <t>Does your organisation process personal data based on legitimate use (Section 7) without consent?</t>
  </si>
  <si>
    <t>Legitimate Use: B1–B6 series</t>
  </si>
  <si>
    <t>Item 1 (Legal Basis Register)</t>
  </si>
  <si>
    <t>B3</t>
  </si>
  <si>
    <t>Does your organisation process personal data of children (under 18) or persons with disability?</t>
  </si>
  <si>
    <t>Children/PWD: Items 35–48, A4 series</t>
  </si>
  <si>
    <t>Items 35–48</t>
  </si>
  <si>
    <t>B4</t>
  </si>
  <si>
    <t>Does your organisation transfer personal data outside India?</t>
  </si>
  <si>
    <t>Cross-Border: Items 64–65</t>
  </si>
  <si>
    <t>Items 64–65</t>
  </si>
  <si>
    <t>B5</t>
  </si>
  <si>
    <t>Does your organisation process personal data for research, archiving, or statistical purposes?</t>
  </si>
  <si>
    <t>Research: Items 66–73</t>
  </si>
  <si>
    <t>Items 66–73</t>
  </si>
  <si>
    <t>B6</t>
  </si>
  <si>
    <t>Does your organisation use any Data Processors (third-party service providers processing data on your behalf)?</t>
  </si>
  <si>
    <t>Processor Controls: Items 16, 29, B5 series</t>
  </si>
  <si>
    <t>B7</t>
  </si>
  <si>
    <t>Does your organisation process employee personal data (HR, payroll, biometrics, CCTV)?</t>
  </si>
  <si>
    <t>Employment: B5.1–B5.5 series, B2.9</t>
  </si>
  <si>
    <t>Item 1 (Sec 7(i) basis)</t>
  </si>
  <si>
    <t>SECTION C — OPERATIONAL READINESS BASELINE</t>
  </si>
  <si>
    <t>C1</t>
  </si>
  <si>
    <t>Operational Readiness</t>
  </si>
  <si>
    <t>Does your organisation have a documented privacy notice currently published?</t>
  </si>
  <si>
    <t>Yes / No / Partial</t>
  </si>
  <si>
    <t>Notice: A1 series, Items 2, 5</t>
  </si>
  <si>
    <t>Items 2, 5</t>
  </si>
  <si>
    <t>C2</t>
  </si>
  <si>
    <t>Does your organisation have a functioning consent capture and withdrawal mechanism?</t>
  </si>
  <si>
    <t>Consent Ops: A2, A6–A8 series</t>
  </si>
  <si>
    <t>Items 3, 4</t>
  </si>
  <si>
    <t>C3</t>
  </si>
  <si>
    <t>Does your organisation have a documented breach notification process?</t>
  </si>
  <si>
    <t>Breach: Items 18–23, C1.1 series</t>
  </si>
  <si>
    <t>Items 18–23</t>
  </si>
  <si>
    <t>C4</t>
  </si>
  <si>
    <t>Does your organisation maintain a data processing inventory / Record of Processing Activities (RoPA)?</t>
  </si>
  <si>
    <t>Foundation for all controls</t>
  </si>
  <si>
    <t>All Items</t>
  </si>
  <si>
    <t>C5</t>
  </si>
  <si>
    <t>Does your organisation have a rights request handling mechanism (access, correction, erasure)?</t>
  </si>
  <si>
    <t>Rights: Items 56–62</t>
  </si>
  <si>
    <t>Items 56–62</t>
  </si>
  <si>
    <t>C6</t>
  </si>
  <si>
    <t>Does your organisation have security safeguards aligned to Rule 6 requirements?</t>
  </si>
  <si>
    <t>Security: Items 12–17, C1 series</t>
  </si>
  <si>
    <t>Items 12–17</t>
  </si>
  <si>
    <t>C7</t>
  </si>
  <si>
    <t>Does your organisation have a grievance redress mechanism published with SLA?</t>
  </si>
  <si>
    <t>Grievance: Items 61, 63</t>
  </si>
  <si>
    <t>Items 61, 63</t>
  </si>
  <si>
    <t>C8</t>
  </si>
  <si>
    <t>Does your organisation have pre-existing (legacy) personal data collected before the Act?</t>
  </si>
  <si>
    <t>Yes / No / Unknown</t>
  </si>
  <si>
    <t>Legacy: A1.5, Item 2</t>
  </si>
  <si>
    <t>Item 2</t>
  </si>
  <si>
    <t>SECTION D — SECTOR-SPECIFIC &amp; BUSINESS UNIT APPLICABILITY</t>
  </si>
  <si>
    <t>D1</t>
  </si>
  <si>
    <t>Sector Applicability</t>
  </si>
  <si>
    <t>Is your organisation a clinical/mental health establishment or healthcare professional?</t>
  </si>
  <si>
    <t>Items 36, 38–39</t>
  </si>
  <si>
    <t>D2</t>
  </si>
  <si>
    <t>Is your organisation an educational institution?</t>
  </si>
  <si>
    <t>Item 40</t>
  </si>
  <si>
    <t>D3</t>
  </si>
  <si>
    <t>Does your organisation operate a crèche, childcare centre, or child transport service?</t>
  </si>
  <si>
    <t>Items 41–42</t>
  </si>
  <si>
    <t>D4</t>
  </si>
  <si>
    <t>Does your organisation process data for government scheme benefits delivery?</t>
  </si>
  <si>
    <t>Item 43</t>
  </si>
  <si>
    <t>D5</t>
  </si>
  <si>
    <t>Is your organisation subject to sectoral data localisation requirements (RBI, IRDAI, SEBI, CERT-In)?</t>
  </si>
  <si>
    <t>Yes / No / Unsure</t>
  </si>
  <si>
    <t>Items 55, 65</t>
  </si>
  <si>
    <t>D6</t>
  </si>
  <si>
    <t>Does your organisation have multiple business units processing personal data independently?</t>
  </si>
  <si>
    <t>RACI Matrix — BU Layer</t>
  </si>
  <si>
    <t>EVALUATION SUMMARY</t>
  </si>
  <si>
    <t>Entity Classification:</t>
  </si>
  <si>
    <t>Total Applicable Domains:</t>
  </si>
  <si>
    <t>Count responses marked 'Yes' across Sections A–D to determine scope</t>
  </si>
  <si>
    <t>Priority Implementation Areas:</t>
  </si>
  <si>
    <t>Domains where Section C responses are 'No' = highest priority</t>
  </si>
  <si>
    <t>Business Unit Bifurcation Required:</t>
  </si>
  <si>
    <t>DPDP COMPLIANCE FRAMEWORK — RACI RESPONSIBILITY MATRIX</t>
  </si>
  <si>
    <t>R = Responsible (executes) | A = Accountable (owns outcome) | C = Consulted (provides input) | I = Informed (kept updated) | BU columns enable business unit-level bifurcation of responsibilities</t>
  </si>
  <si>
    <t>CONTROL IDENTIFICATION</t>
  </si>
  <si>
    <t>CENTRAL / FUNCTIONAL OWNERSHIP (RACI)</t>
  </si>
  <si>
    <t>BUSINESS UNIT BIFURCATION (RACI)</t>
  </si>
  <si>
    <t>GOVERNANCE</t>
  </si>
  <si>
    <t>Control ID</t>
  </si>
  <si>
    <t>Domain</t>
  </si>
  <si>
    <t>Control / Obligation</t>
  </si>
  <si>
    <t>Trigger Event</t>
  </si>
  <si>
    <t>DPO / Privacy Office</t>
  </si>
  <si>
    <t>CISO / InfoSec</t>
  </si>
  <si>
    <t>Legal &amp; Compliance</t>
  </si>
  <si>
    <t>IT / Engineering</t>
  </si>
  <si>
    <t>HR / People Ops</t>
  </si>
  <si>
    <t>Product / UX</t>
  </si>
  <si>
    <t>Procurement / Vendor Mgmt</t>
  </si>
  <si>
    <t>Business Operations</t>
  </si>
  <si>
    <t>BU Head (per BU)</t>
  </si>
  <si>
    <t>BU Privacy Champion</t>
  </si>
  <si>
    <t>BU IT Lead</t>
  </si>
  <si>
    <t>Risk Priority</t>
  </si>
  <si>
    <t>Implementation Phase</t>
  </si>
  <si>
    <t xml:space="preserve">  CONSENT &amp; NOTICE</t>
  </si>
  <si>
    <t>CN-01</t>
  </si>
  <si>
    <t>Consent &amp; Notice</t>
  </si>
  <si>
    <t>Identify Legal Basis for Processing (Consent or Legitimate Use)</t>
  </si>
  <si>
    <t>New/existing processing activity</t>
  </si>
  <si>
    <t>A</t>
  </si>
  <si>
    <t>C</t>
  </si>
  <si>
    <t>R</t>
  </si>
  <si>
    <t>I</t>
  </si>
  <si>
    <t>P0 — Critical</t>
  </si>
  <si>
    <t>Phase 1</t>
  </si>
  <si>
    <t>CN-02</t>
  </si>
  <si>
    <t>Display &amp; Serve Mandatory Standalone Notice</t>
  </si>
  <si>
    <t>Before requesting consent</t>
  </si>
  <si>
    <t>CN-03</t>
  </si>
  <si>
    <t>Obtain Valid Consent (free, specific, informed, unequivocal)</t>
  </si>
  <si>
    <t>Consent-based processing initiation</t>
  </si>
  <si>
    <t>CN-04</t>
  </si>
  <si>
    <t>Enable Consent Withdrawal &amp; Stop Processing</t>
  </si>
  <si>
    <t>Withdrawal request received</t>
  </si>
  <si>
    <t>CN-05</t>
  </si>
  <si>
    <t>Maintain Notice Content &amp; Presentation Standard</t>
  </si>
  <si>
    <t>Creating/updating privacy notice</t>
  </si>
  <si>
    <t>P1 — High</t>
  </si>
  <si>
    <t xml:space="preserve">  CONSENT MANAGER</t>
  </si>
  <si>
    <t>CM-01</t>
  </si>
  <si>
    <t>Consent Manager</t>
  </si>
  <si>
    <t>Eligibility &amp; Application Filing (Part A, First Schedule)</t>
  </si>
  <si>
    <t>Intent to operate as CM</t>
  </si>
  <si>
    <t>Phase 2</t>
  </si>
  <si>
    <t>CM-02</t>
  </si>
  <si>
    <t>Board Evaluation &amp; Decision Preparation</t>
  </si>
  <si>
    <t>Post application submission</t>
  </si>
  <si>
    <t>CM-03</t>
  </si>
  <si>
    <t>Registered CM Operating Obligations</t>
  </si>
  <si>
    <t>Post-registration operations</t>
  </si>
  <si>
    <t>CM-04</t>
  </si>
  <si>
    <t>Non-Adherence &amp; Corrective Action Framework</t>
  </si>
  <si>
    <t>Board detects non-compliance</t>
  </si>
  <si>
    <t>CM-05</t>
  </si>
  <si>
    <t>Suspension / Cancellation Continuity Planning</t>
  </si>
  <si>
    <t>Serious breach or non-adherence</t>
  </si>
  <si>
    <t>CM-06</t>
  </si>
  <si>
    <t>Mandatory Information Disclosure to Board</t>
  </si>
  <si>
    <t>Board requests information</t>
  </si>
  <si>
    <t xml:space="preserve">  SECURITY SAFEGUARDS</t>
  </si>
  <si>
    <t>SS-01</t>
  </si>
  <si>
    <t>Security Safeguards</t>
  </si>
  <si>
    <t>Implement Reasonable Security Safeguards (Rule 6 baseline)</t>
  </si>
  <si>
    <t>Processing/storing/transmitting PD</t>
  </si>
  <si>
    <t>SS-02</t>
  </si>
  <si>
    <t>Access Control &amp; Monitoring (Rule 6(b)(c))</t>
  </si>
  <si>
    <t>Data access/modification/export</t>
  </si>
  <si>
    <t>SS-03</t>
  </si>
  <si>
    <t>Data Availability, Integrity &amp; Backup (Rule 6(d))</t>
  </si>
  <si>
    <t>CIA risk to personal data</t>
  </si>
  <si>
    <t>SS-04</t>
  </si>
  <si>
    <t>Log Retention &amp; Breach Detection (Rule 6(e))</t>
  </si>
  <si>
    <t>Breach/unauthorised access occurs or may occur</t>
  </si>
  <si>
    <t>SS-05</t>
  </si>
  <si>
    <t>Security Obligations in Processor Contracts (Rule 6(f))</t>
  </si>
  <si>
    <t>Using any Data Processor</t>
  </si>
  <si>
    <t>SS-06</t>
  </si>
  <si>
    <t>Technical &amp; Organisational Measures — Ongoing (Rule 6(g))</t>
  </si>
  <si>
    <t>Continuous operations</t>
  </si>
  <si>
    <t xml:space="preserve">  BREACH NOTIFICATION</t>
  </si>
  <si>
    <t>BN-01</t>
  </si>
  <si>
    <t>Breach Notification</t>
  </si>
  <si>
    <t>Breach Awareness &amp; Activation (incl. Processor breach)</t>
  </si>
  <si>
    <t>Breach awareness</t>
  </si>
  <si>
    <t>BN-02</t>
  </si>
  <si>
    <t>Internal Verification &amp; Scope Assessment</t>
  </si>
  <si>
    <t>Breach confirmed involving PD</t>
  </si>
  <si>
    <t>BN-03</t>
  </si>
  <si>
    <t>Notification to Affected Data Principals (Rule 7(1))</t>
  </si>
  <si>
    <t>Required info available without delay</t>
  </si>
  <si>
    <t>BN-04</t>
  </si>
  <si>
    <t>First Intimation to Board (Rule 7(2)(a))</t>
  </si>
  <si>
    <t>Immediately after breach-awareness</t>
  </si>
  <si>
    <t>BN-05</t>
  </si>
  <si>
    <t>Detailed Follow-Up Submission to Board (Rule 7(2)(b))</t>
  </si>
  <si>
    <t>Within 72 hours</t>
  </si>
  <si>
    <t>BN-06</t>
  </si>
  <si>
    <t>Evidence Preservation &amp; Retention</t>
  </si>
  <si>
    <t>Throughout breach handling</t>
  </si>
  <si>
    <t>BN-07</t>
  </si>
  <si>
    <t>Breach Notification During Retention / Pre-Erasure Period</t>
  </si>
  <si>
    <t>Breach during retention window</t>
  </si>
  <si>
    <t xml:space="preserve">  RETENTION &amp; ERASURE</t>
  </si>
  <si>
    <t>RE-01</t>
  </si>
  <si>
    <t>Retention &amp; Erasure</t>
  </si>
  <si>
    <t>Applicability Confirmation (Third Schedule Class + Purpose)</t>
  </si>
  <si>
    <t>Org qualifies under Third Schedule</t>
  </si>
  <si>
    <t>RE-02</t>
  </si>
  <si>
    <t>Trigger for Purpose-Based Erasure</t>
  </si>
  <si>
    <t>No DP engagement for purpose</t>
  </si>
  <si>
    <t>RE-03</t>
  </si>
  <si>
    <t>Mandatory 48-Hour Pre-Erasure Notice</t>
  </si>
  <si>
    <t>48hrs before scheduled erasure</t>
  </si>
  <si>
    <t>RE-04</t>
  </si>
  <si>
    <t>Minimum One-Year Statutory Retention (Rule 8(3))</t>
  </si>
  <si>
    <t>Any PD processing</t>
  </si>
  <si>
    <t>RE-05</t>
  </si>
  <si>
    <t>Final Erasure Execution (Rule 8(1)+8(2)+8(3))</t>
  </si>
  <si>
    <t>All erasure pre-conditions met</t>
  </si>
  <si>
    <t>RE-06</t>
  </si>
  <si>
    <t>Security Safeguard Overlay over Processors</t>
  </si>
  <si>
    <t>Throughout lifecycle incl. backup</t>
  </si>
  <si>
    <t xml:space="preserve">  CHILDREN &amp; PWD DATA</t>
  </si>
  <si>
    <t>CD-01</t>
  </si>
  <si>
    <t>Children &amp; PWD Data</t>
  </si>
  <si>
    <t>Data Protection &amp; Security Safeguards for Child Data</t>
  </si>
  <si>
    <t>Collection through deletion</t>
  </si>
  <si>
    <t>CD-02</t>
  </si>
  <si>
    <t>Fourth Schedule Part-A Class Exemption Assessment</t>
  </si>
  <si>
    <t>DF falls under Part-A class</t>
  </si>
  <si>
    <t>CD-03</t>
  </si>
  <si>
    <t>Fourth Schedule Part-B Purpose Exemption Assessment</t>
  </si>
  <si>
    <t>Processing under Part-B purpose</t>
  </si>
  <si>
    <t>CD-04</t>
  </si>
  <si>
    <t>Age Confirmation Mechanism (Rule 10)</t>
  </si>
  <si>
    <t>Need to confirm user is not child</t>
  </si>
  <si>
    <t xml:space="preserve">  SDF OBLIGATIONS</t>
  </si>
  <si>
    <t>SDF-01</t>
  </si>
  <si>
    <t>SDF Obligations</t>
  </si>
  <si>
    <t>Appointment of Data Protection Officer (DPO)</t>
  </si>
  <si>
    <t>Upon SDF declaration</t>
  </si>
  <si>
    <t>SDF-02</t>
  </si>
  <si>
    <t>Appointment of Independent Data Auditor</t>
  </si>
  <si>
    <t>Upon becoming SDF</t>
  </si>
  <si>
    <t>SDF-03</t>
  </si>
  <si>
    <t>Mandatory Annual DPIA (Rule 13(1))</t>
  </si>
  <si>
    <t>Every 12-month cycle</t>
  </si>
  <si>
    <t>SDF-04</t>
  </si>
  <si>
    <t>Mandatory Annual Audit (Rule 13(1))</t>
  </si>
  <si>
    <t>SDF-05</t>
  </si>
  <si>
    <t>Regulatory Reporting of DPIA + Audit (Rule 13(2))</t>
  </si>
  <si>
    <t>After each cycle completion</t>
  </si>
  <si>
    <t>SDF-06</t>
  </si>
  <si>
    <t>Technical Due-Diligence for Algorithmic Risks (Rule 13(3))</t>
  </si>
  <si>
    <t>Using hosting/processing systems</t>
  </si>
  <si>
    <t>SDF-07</t>
  </si>
  <si>
    <t>Data + Traffic Flow Localisation (Rule 13(4)–(5))</t>
  </si>
  <si>
    <t>When CG specifies categories</t>
  </si>
  <si>
    <t>Phase 3</t>
  </si>
  <si>
    <t xml:space="preserve">  DATA PRINCIPAL RIGHTS</t>
  </si>
  <si>
    <t>DPR-01</t>
  </si>
  <si>
    <t>Data Principal Rights</t>
  </si>
  <si>
    <t>Rights Request Enablement &amp; Publishing (Rule 14(1))</t>
  </si>
  <si>
    <t>DF processes PD + must enable requests</t>
  </si>
  <si>
    <t>DPR-02</t>
  </si>
  <si>
    <t>Rights Request Submission Path (Rule 14(2))</t>
  </si>
  <si>
    <t>DP exercises any right</t>
  </si>
  <si>
    <t>DPR-03</t>
  </si>
  <si>
    <t>Rights-Enabling Identifier Requirements (Rule 14(1)(b))</t>
  </si>
  <si>
    <t>Identity verification before action</t>
  </si>
  <si>
    <t>DPR-04</t>
  </si>
  <si>
    <t>Right to Access — Response Content (Sec 11)</t>
  </si>
  <si>
    <t>Verified access request</t>
  </si>
  <si>
    <t>DPR-05</t>
  </si>
  <si>
    <t>Rights to Correction, Completion, Updating &amp; Erasure (Sec 12)</t>
  </si>
  <si>
    <t>DP submits correction/erasure request</t>
  </si>
  <si>
    <t>DPR-06</t>
  </si>
  <si>
    <t>Grievance Redress System (Sec 13, Rule 14(3))</t>
  </si>
  <si>
    <t>DP files grievance</t>
  </si>
  <si>
    <t>DPR-07</t>
  </si>
  <si>
    <t>Nomination Rights (Sec 14, Rule 14(4))</t>
  </si>
  <si>
    <t>DP opts to nominate</t>
  </si>
  <si>
    <t>P2 — Medium</t>
  </si>
  <si>
    <t>DPR-08</t>
  </si>
  <si>
    <t>Publishing Time-Bound Grievance Response Capability</t>
  </si>
  <si>
    <t>DF/CM manages grievances</t>
  </si>
  <si>
    <t xml:space="preserve">  CROSS-BORDER TRANSFER</t>
  </si>
  <si>
    <t>CBT-01</t>
  </si>
  <si>
    <t>Cross-Border Transfer</t>
  </si>
  <si>
    <t>Cross-Border Personal Data Transfer Enablement (Rule 15)</t>
  </si>
  <si>
    <t>Intent to transfer PD outside India</t>
  </si>
  <si>
    <t>CBT-02</t>
  </si>
  <si>
    <t>Compliance With Higher Restriction Laws (Sec 16(2))</t>
  </si>
  <si>
    <t>Sectoral law imposes stricter rules</t>
  </si>
  <si>
    <t xml:space="preserve">  RESEARCH &amp; ARCHIVING</t>
  </si>
  <si>
    <t>RA-01</t>
  </si>
  <si>
    <t>Research &amp; Archiving</t>
  </si>
  <si>
    <t>Eligibility for Research/Archiving/Statistical Exemption</t>
  </si>
  <si>
    <t>DF plans exempt processing</t>
  </si>
  <si>
    <t>RA-02</t>
  </si>
  <si>
    <t>Lawfulness + Minimisation + Accuracy + Retention + Security</t>
  </si>
  <si>
    <t>Research processing lifecycle</t>
  </si>
  <si>
    <t>RA-03</t>
  </si>
  <si>
    <t>Accountability Obligation (Sec 17(2)(b))</t>
  </si>
  <si>
    <t>DF determines research purpose</t>
  </si>
  <si>
    <t xml:space="preserve">  GOVT. INFORMATION REQUESTS</t>
  </si>
  <si>
    <t>GR-01</t>
  </si>
  <si>
    <t>Govt. Information Requests</t>
  </si>
  <si>
    <t>Furnishing Information to Central Government (Sec 36, Rule 23)</t>
  </si>
  <si>
    <t>Govt issues information requisition</t>
  </si>
  <si>
    <t xml:space="preserve">  CONTACT &amp; PUBLICATION</t>
  </si>
  <si>
    <t>CP-01</t>
  </si>
  <si>
    <t>Contact &amp; Publication</t>
  </si>
  <si>
    <t>Contact Information Publication (Sec 8(9), Rule 9)</t>
  </si>
  <si>
    <t>DF processes PD + may receive queries</t>
  </si>
  <si>
    <t>CP-02</t>
  </si>
  <si>
    <t>DPO Contact Requirement Applicability (Sec 10(2), Rule 9)</t>
  </si>
  <si>
    <t>SDF determination</t>
  </si>
  <si>
    <t>DPDP COMPLIANCE FRAMEWORK — DUAL ASSESSMENT &amp; IMPLEMENTATION TRACKER</t>
  </si>
  <si>
    <t>Assessment Area: Current-state evaluation of control maturity | Implementation Area: Forward-looking action tracking toward compliance target state</t>
  </si>
  <si>
    <t>ASSESSMENT AREA (Current State)</t>
  </si>
  <si>
    <t>IMPLEMENTATION AREA (Target State)</t>
  </si>
  <si>
    <t>GOVERNANCE &amp; EVIDENCE</t>
  </si>
  <si>
    <t>Sr. No.</t>
  </si>
  <si>
    <t>Reference</t>
  </si>
  <si>
    <t>Role / Responsibility</t>
  </si>
  <si>
    <t>Compliance Header</t>
  </si>
  <si>
    <t>Compliance Measures</t>
  </si>
  <si>
    <t>Assessment Status</t>
  </si>
  <si>
    <t>Maturity Level</t>
  </si>
  <si>
    <t>Gap Identified</t>
  </si>
  <si>
    <t>Gap Description</t>
  </si>
  <si>
    <t>Risk Rating</t>
  </si>
  <si>
    <t>Impl. Status</t>
  </si>
  <si>
    <t>Accountable Owner</t>
  </si>
  <si>
    <t>Target Date</t>
  </si>
  <si>
    <t>Action Plan / Remediation</t>
  </si>
  <si>
    <t>Budget Est. (INR)</t>
  </si>
  <si>
    <t>% Complete</t>
  </si>
  <si>
    <t>Evidence Status</t>
  </si>
  <si>
    <t>Evidence Artefact / Location</t>
  </si>
  <si>
    <t>Last Review Date</t>
  </si>
  <si>
    <t>Reviewer Comments</t>
  </si>
  <si>
    <t>Section 4, 5, 6,  read with Rule 3</t>
  </si>
  <si>
    <t>Data Fiduciary</t>
  </si>
  <si>
    <t>• Maintain Processing + Legal Basis Register • Classify each processing into Consent or Legitimate Use before execution • Disallow bundled, conditional, forced, misleading basis selection • Flag and approve purpose change via governance workflow</t>
  </si>
  <si>
    <t>Display &amp; Serve Mandatory Notice (Standalone Notice)</t>
  </si>
  <si>
    <t>• Use separate notice (not merged with T&amp;Cs/marketing) • Capture timestamp + notice version displayed • Provide direct links to rights, grievance &amp; withdrawal page • Ensure notice remains accessible after consent</t>
  </si>
  <si>
    <t>Obtain Valid Consent</t>
  </si>
  <si>
    <t>• Use explicit action (tick-box, signature, OTP, click-accept) • Store consent evidence log: DP ID, timestamp, notice version, purpose, method • Block processing until consent proof exists • Prohibit reuse for new purposes unless re-consented</t>
  </si>
  <si>
    <t>Enable Consent Withdrawal &amp; Stop Processing After Withdrawal</t>
  </si>
  <si>
    <t>• Provide easy withdrawal method equal to effort of giving consent • Trigger automated blocking of further processing • Notify processors + internal systems to disable access/processing • Maintain withdrawal log: timestamp, scope, impacted systems</t>
  </si>
  <si>
    <t>• Maintain central notice template + version control repository • Conduct legal + UX clarity review before publishing • Publish separately from marketing, commercial terms, or disclaimers • Retain historical versions + publication logs</t>
  </si>
  <si>
    <t>Section 6(9) read with Rule 4</t>
  </si>
  <si>
    <t>Consent Managers</t>
  </si>
  <si>
    <t>Eligibility &amp; Application Filing</t>
  </si>
  <si>
    <t>• Prepare evidence for all Part A criteria (technical, security, operational, financial, governance) • Collect documentary proof as per Board-published checklist • Prepare system architecture, SOPs and support model</t>
  </si>
  <si>
    <t>Board Evaluation &amp; Decision</t>
  </si>
  <si>
    <t>• Maintain verifiable compliance documentation • Ensure alignment between documentation and actual operations • Keep audit logs ready for demonstration</t>
  </si>
  <si>
    <t>Registered Consent Manager Operating Obligations</t>
  </si>
  <si>
    <t>• Implement secure, transparent consent lifecycle handling • Maintain neutrality and non-manipulative flow • Maintain audit-ready operational logs and uptime records</t>
  </si>
  <si>
    <t>Non-Adherence &amp; Corrective Action</t>
  </si>
  <si>
    <t>• Operate continuous compliance assurance framework (CCAF) • Perform quarterly internal control audits and evidence-based testing • Implement tracked remediation plan with accountable owners and closure proof • Maintain regulatory response file with artefacts, logs, and timeline trail</t>
  </si>
  <si>
    <t>Suspension or Cancellation Power</t>
  </si>
  <si>
    <t>• Maintain live Business Continuity &amp; Service Continuity Framework • Establish regulated handover, exit and portability mechanism for data and consent records • Maintain immutable traceability logs for every consent lifecycle event • Define shutdown, escrow, archival &amp; return-of-data playbooks • Maintain contractual exit clauses with processors and technical partners</t>
  </si>
  <si>
    <t>• Maintain central evidence and document repository • Maintain version-controlled policies, logs, audit records, and incident reports • Adopt formal Board-response SOP with internal SLAs • Maintain traceable response documentation &amp; authorised sign-off</t>
  </si>
  <si>
    <t>Section 8(5) read with Rule 6</t>
  </si>
  <si>
    <t>Implement Reasonable Security Safeguards</t>
  </si>
  <si>
    <t>• Maintain real-time data inventory &amp; data-flow register including processors • Encrypt/mask/tokenise personal data at rest &amp; in transit • Enforce role-based access, MFA, least-privilege &amp; Just-in-Time access • Enable continuous monitoring, log retention &amp; breach alerting • Implement backup &amp; continuity aligned to criticality &amp; restoration objectives • Include enforceable security clauses in all processor contracts • Maintain approved security policy, SOPs, and evidence repositories</t>
  </si>
  <si>
    <t xml:space="preserve">Rule 6(b), 6(c) </t>
  </si>
  <si>
    <t>Access Control &amp; Monitoring</t>
  </si>
  <si>
    <t>• Enforce role-based, context-based, and least-privilege access assignments • Enforce MFA &amp; strong authentication for privileged and remote access • Maintain logged workflow for access requests, approvals, revocations, &amp; periodic certification • Implement real-time monitoring &amp; anomaly alerting • Conduct quarterly access control &amp; log review with documented outcomes</t>
  </si>
  <si>
    <t>Rule 6(d)</t>
  </si>
  <si>
    <t>Data Availability, Integrity &amp; Backup Measures</t>
  </si>
  <si>
    <t>• Maintain encrypted and integrity-verified backups including both online and offline copies based on data criticality • Store critical data copies in a tamper-resistant, offline, or isolated (air-gapped) environment • Maintain a documented Business Continuity Plan and Disaster Recovery Plan (BCP/DRP) with clearly defined restoration timelines and recovery expectations • Conduct quarterly data restoration, failover, and disaster simulation testing with evidence • Use checksum or cryptographic ha</t>
  </si>
  <si>
    <t>Rule 6(e)</t>
  </si>
  <si>
    <t>Log Retention &amp; Breach Detection Visibility</t>
  </si>
  <si>
    <t>• Maintain a centralised, tamper-resistant logging system covering user activity, system events, and data access • Protect logs using write-once or restricted-permission storage controls so they cannot be altered or deleted • Enable real-time alerting and correlation rules to identify abnormal behaviour • Maintain an incident investigation and evidence-preservation workflow with time-stamped triage records • Retain incident-related logs separately until closure of investigation, legal hold, or r</t>
  </si>
  <si>
    <t>Rule 6(f)</t>
  </si>
  <si>
    <t>Security Obligations in Processor Contracts</t>
  </si>
  <si>
    <t>• Draft and enforce mandatory data protection and security clauses including: encryption, secure access management, logging, monitoring, incident reporting timelines, data return/deletion terms, subcontracting restrictions, and audit/cooperation rights • Perform documented due-diligence and periodic risk assessments on every Data Processor • Maintain evidence repository including contract versions, evaluation records, risk scores, and remediation reports</t>
  </si>
  <si>
    <t>Rule 6(g)</t>
  </si>
  <si>
    <t>Technical &amp; Organisational Measures (Ongoing)</t>
  </si>
  <si>
    <t>• Operate a continuous compliance and threat monitoring function • Conduct scheduled security assessments, penetration testing, and configuration reviews • Maintain secure software development lifecycle (SSDLC) controls for product and feature releases • Ensure mandatory periodic security and privacy training for all relevant personnel • Record evidence-based audit trails of testing, remediation and control maturity improvements</t>
  </si>
  <si>
    <t>Section 8(6) read with Rule 7(1) &amp; Rule 7(2)</t>
  </si>
  <si>
    <t>Breach Awareness &amp; Activation (Including Processor-Caused Breach)</t>
  </si>
  <si>
    <t>• Contractually mandate immediate breach reporting SLA from Processor to Data Fiduciary (example: within two hours of detection) • Integrate Processor incident escalation into incident response playbooks and information security management procedures • Establish single, logged intake channel for all Processor breach submissions • Maintain forensic-grade evidence and chain-of-custody records, even if evidence originates from Processor-owned infrastructure</t>
  </si>
  <si>
    <t>Section 8(6) read with Rule 7(1)(a)–(e) &amp; Rule 7(2)(a)</t>
  </si>
  <si>
    <t>Initial Internal Verification &amp; Scope Assessment</t>
  </si>
  <si>
    <t>• Activate documented breach assessment runbook • Classify impacted data type, identifiability, volume, and potential harm indicators • Validate and evidence Processor-side logs, configurations, and timestamps • Record two timestamps separately: (i) time of breach occurrence/detection, (ii) time of awareness by Fiduciary • Maintain authoritative registry of user communication channels and delivery preferences for notification execution</t>
  </si>
  <si>
    <t>Section 8(6) read with Rule 7(1)(a)–€</t>
  </si>
  <si>
    <t>Notification to Affected Data Principals</t>
  </si>
  <si>
    <t>• Maintain pre-approved notification templates aligned to each clause of Rule 7(1)(a)–(e) • Use verified and active communication channel such as registered email, SMS, in-app notification, or account dashboard • Retain proof of delivery, read-status where feasible, and escalation log for unreachable individuals</t>
  </si>
  <si>
    <t>Section 8(6) read with Rule 7(2)(a)</t>
  </si>
  <si>
    <t>First Intimation to the Board</t>
  </si>
  <si>
    <t>• Use pre-approved regulatory reporting template • Ensure authorised sign-off (not below designated senior compliance / privacy officer) • Capture exact timestamp of awareness and submission • Store acknowledgement and follow-up references • Clearly disclose whether the breach originated from Processor environment</t>
  </si>
  <si>
    <t>Section 8(6) read with Rule 7(2)(b)(i)–(vi)</t>
  </si>
  <si>
    <t>Detailed Follow-Up Submission to Board</t>
  </si>
  <si>
    <t>• Obtain complete event timeline, technical logs, forensics evidence and incident artefacts (including from Processor) • Conduct structured Root-Cause-Analysis with named accountable owners • Submit corrective action plan with milestones and validation criteria • Attach evidence repository including Data Principal notification proof, Processor breach documentation and chain-of-custody trail</t>
  </si>
  <si>
    <t xml:space="preserve">Section 8(6) read with Rule 7(1) &amp; Rule 7(2) </t>
  </si>
  <si>
    <t>• Maintain tamper-resistant preservation of all incident artefacts including logs, alerts, communication records, forensics outputs, screenshots, tickets, emails and investigation minutes • Require Processor to retain and supply logs and artefacts in original, unaltered form • Maintain separate, access-controlled incident evidence repository with immutability controls for regulatory and audit reference</t>
  </si>
  <si>
    <t>Rule 8(1)</t>
  </si>
  <si>
    <t>Data Fiduciary (E-Commerce, E-Gaming &amp; Social Media Intermediary)</t>
  </si>
  <si>
    <t>Applicability Confirmation (Class + Purpose)</t>
  </si>
  <si>
    <t>• Conduct and document classification assessment with evidence • Maintain purpose-to-class mapping and review on any change • Track user-population / business-model changes that may alter classification • Maintain periodic re-validation record for all active processing purposes</t>
  </si>
  <si>
    <t>• Maintain objectively recorded last-interaction timestamp • Configure purpose-specific retention timers • Prevent non-DP-initiated auto-renewal events • Ensures confirmation based Deletion/Account Removals.</t>
  </si>
  <si>
    <t>Rule 8(2)</t>
  </si>
  <si>
    <t>• Maintain verifiable, system-generated last-interaction timestamp tied to the specific purpose • Configure purpose-specific, non-extendable retention timers mapped to Third Schedule requirements • Disable auto-renewal, auto-login, passive reactivation or inferred-activity extensions that would silently prolong retention • Implement confirmed-erasure workflow including account-level and dataset-level deletion acknowledgements</t>
  </si>
  <si>
    <t>Section 8(5) read with Rule 8(3)</t>
  </si>
  <si>
    <t>Rule 8(3) – Minimum One-Year Statutory Retention</t>
  </si>
  <si>
    <t>• Maintain a central retention register capturing data category, source, purpose, legal retention basis, retention start date and minimum mandated end-date • Update processor contracts and SoWs to include minimum 1-year retention, controlled deletion timeline and evidentiary delivery obligations • Ensure archival, DR, and backup systems enforce the same retention controls • Disallow deletion requests unless supported by Seventh Schedule justification and post-minimum-period eligibility</t>
  </si>
  <si>
    <t>Section 8(5) read with Section 12(3) read with Rule 8(1), 8(2), 8(3)</t>
  </si>
  <si>
    <t>Rule 8(1) + 8(2) + 8(3) – Final Erasure Execution</t>
  </si>
  <si>
    <t>• Use a controlled erasure workflow (no masking, anonymisation, or reversible soft-delete counted as erasure) • Capture tamper-proof audit evidence: request ID, authoriser, timestamp, data scope, and system-level confirmation • Obtain deletion proof from processors and sub-processors including backup repositories • Conduct erasure reconciliation checks to confirm no residual artefacts remain in logs, caches, analytics, shadow storages.</t>
  </si>
  <si>
    <t>• Apply full security safeguards consistently across live, mirrored, archived, dormant, backup, and pre-erasure environments • Conduct periodic privileged access review, log audit and processor security performance validation • Enforce ongoing contractual compliance including evidence-based controls testing for all processors and sub-processors</t>
  </si>
  <si>
    <t>Section 8(5) read with Rule 7</t>
  </si>
  <si>
    <t>Breach Notification During Retention / Inactivity / Pre-Erasure Period</t>
  </si>
  <si>
    <t>• Extend breach-response SOP and incident classification matrix to include archived, inactive, dormant, cold-storage and backup environments • Mandate contractual breach reporting SLA for processors and sub-processors aligned to fiduciary timelines • Maintain legally defensible, searchable, and tamper-proof logs for the full duration of the retention period</t>
  </si>
  <si>
    <t>Section 8(9) read with Rule 9</t>
  </si>
  <si>
    <t>Contact Information Publication Obligation</t>
  </si>
  <si>
    <t>• Publish a single official and monitored contact point (not generic marketing, customer support, ticket-bot or promotional addresses) • Place contact information in mandatory visibility zones (footer, privacy notice, rights response templates, app settings) • Verify publication accessibility for all user categories including non-logged-in users • Maintain training and internal escalation path for query resolution with service levels recorded in policy</t>
  </si>
  <si>
    <t>Section 10(2) read with Rule 9</t>
  </si>
  <si>
    <t>Applicability of DPO Contact Requirement</t>
  </si>
  <si>
    <t>• Conduct internal and documented assessment of classification under Section 10 criteria • If classified as Significant Data Fiduciary → appoint Data Protection Officer and publish the contact • If not classified as Significant Data Fiduciary → assign and publish a trained, accountable and authorised contact person • Periodically revalidate classification status</t>
  </si>
  <si>
    <t>Section 9(4) read with Section 12(2)</t>
  </si>
  <si>
    <t>Data Fiduciary is a clinical establishment / mental health establishment / healthcare professional / Child-Care Centre/Creche/ Educational Institutions</t>
  </si>
  <si>
    <t>Exception Based on Class of Data Fiduciary</t>
  </si>
  <si>
    <t>• Document and approve class-eligibility mapping referencing Fourth Schedule language • Bind processing purpose to permitted scenario using access-control + architectural controls • Maintain necessity + proportionality evidence and periodic review trail</t>
  </si>
  <si>
    <t>Exception Based on Purpose</t>
  </si>
  <si>
    <t>• Apply purpose-matching test prior to invocation • Record purpose code, statutory basis, and necessity/proportionality justification • Maintain documentation evidencing minimal-use alignment • Hard-block scope extension, feature-addition and repurposing • Enforce periodic legal-basis re-validation for continued eligibility</t>
  </si>
  <si>
    <t>Section 8(5) read with Rule 10</t>
  </si>
  <si>
    <t>• Implement child-specific hardened controls including encryption, segregated repositories, multi-factor authentication, tamper-resistant audit logs • Conduct structured periodic control testing with evidentiary documentation</t>
  </si>
  <si>
    <t xml:space="preserve">Sec 9(4) read with Sec 12(1) </t>
  </si>
  <si>
    <t>Data Fiduciary under 4th Schedule hospital</t>
  </si>
  <si>
    <t>Maintain documented evidence establishing correct classification under Part-A • Preserve purpose-to-schedule mapping record and necessity assessment • Prevent scope expansion, behavioural analytics, or any unrelated derivation use • Maintain evidence repository including SOPs, notices, Data Protection Impact Assessment notes, logs, and risk justification • Conduct periodic eligibility verification and re-qualification triggered by role, service, technology, vendor, or contractual change</t>
  </si>
  <si>
    <t xml:space="preserve">Sec 9(4) read with Sec 12(2) </t>
  </si>
  <si>
    <t>• Conduct documented purpose-match verification before exemption use • Maintain written legal basis artefact (statutory order, mandate, authorised instruction) • Apply least-data and least-function design • Prohibit profiling, analytics, enrichment, resale or secondary use • Maintain evidence including decision notes, data-flow, logs, retention and review records</t>
  </si>
  <si>
    <t>Sec 9(4) read with Sec 12(1)</t>
  </si>
  <si>
    <t>Data Fiduciary is  clinical establishment / mental health establishment / healthcare professional</t>
  </si>
  <si>
    <t>Exemption A1 – Clinical / Mental Health / Healthcare</t>
  </si>
  <si>
    <t>• Retain and periodically validate clinical licence / statutory registration documents • Maintain written clinical justification linking personal data to treatment necessity • No analytics, profiling, behavioural inference, optimisation, commercial usage, marketing, or secondary use • Maintain minimum-necessary data access discipline with medical-role-based access • Maintain treatment-linked audit notes including clinician authorisation</t>
  </si>
  <si>
    <t>Data Fiduciary is an allied healthcare professional</t>
  </si>
  <si>
    <t>Exemption A2 – Allied Healthcare</t>
  </si>
  <si>
    <t>• Maintain written evidence of referral or clinician-authorised treatment plan • Restrict personal data to minimum-necessary fields directly required for treatment support • Prohibit analytics, profiling, product development, marketing, behavioural inference, or optimisation • Maintain documented access logs + authorised role mapping • Record proportionality and clinical-necessity rationale per case</t>
  </si>
  <si>
    <t>Data Fiduciary is an Educational Institution</t>
  </si>
  <si>
    <t>Exemption A3 – Educational Institution</t>
  </si>
  <si>
    <t>• Maintain written class-eligibility record showing institution status • Enforce strict purpose-locking to either educational-activity conduct or safety-interest monitoring; no mixed-purposes • Disable commercial analytics, profiling, targeted content, behavioural optimisation, or advertising • Implement minimum-data capture + least-function design • Maintain access logs + CCTV/device logs + monitoring rationale evidence • Conduct annual exemption review + trigger review on technology or purpose</t>
  </si>
  <si>
    <t>Data Fiduciary is an Creche or Childcare Centre</t>
  </si>
  <si>
    <t>Exemption A4 – Crèche / Child-Care Operator</t>
  </si>
  <si>
    <t>• Apply exclusive safety-use purpose (no learning analytics, behavioural insights, service-design inputs, parental-scoring, or commercial profiling) • Implement data minimisation, restricted retention, and zero secondary use • Ensure live-use visibility only — no long-term behavioural trend analysis • Maintain authorised-access roster + CCTV/device logs + exception logs • Configure automatic deletion window aligned to safety-need expiry • Conduct annual re-validation + change-trigger reassessmen</t>
  </si>
  <si>
    <t>Data Fiduciary mandating Entity for child Transport</t>
  </si>
  <si>
    <t>Exemption A5 – Transport Entity</t>
  </si>
  <si>
    <t>• Activate tracking only during active transit window (boarding → drop-off confirmation) • No analytical profiling, historical trend creation, or retention beyond immediate safety use • Store no historical location repository unless mandated under a specific written legal order • Authorised-person access only (transport control desk / safety officer) with access logging • Configure automatic termination + deletion upon trip closure • Maintain tamper-proof access and event logs for audit verifica</t>
  </si>
  <si>
    <t>Sec 9(4) read with Sec 12(2)</t>
  </si>
  <si>
    <t>Data Fiduciary processing to provide Govt. Scheme Benefits</t>
  </si>
  <si>
    <t>Exemption B2 – Purpose: Subsidy / Public Funds</t>
  </si>
  <si>
    <t>• Maintain written reference to enabling legal instrument (scheme notification / GR / order / law) • Process data strictly limited to eligibility verification, disbursement, utilisation and audit trail • No analytics, profiling, cross-scheme sharing, commercial enrichment, or benefit-optimisation modelling • Maintain processing logs + justification memo for necessity and proportionality</t>
  </si>
  <si>
    <t>Significant Data Fiduciary</t>
  </si>
  <si>
    <t>Exemption B3 – Purpose: Email Account</t>
  </si>
  <si>
    <t>• Limit processing strictly to account creation, login, credential management, communication enablement and security functions • No ads, profiling, recommender systems, ranking, behavioural scoring, engagement-optimisation, or function expansion • Disable monetisation, sponsored content, targeted notifications, or data-based personalisation • Store and process minimum mandatory identifiers only • Maintain audit artefacts proving strict conformity.</t>
  </si>
  <si>
    <t>Exemption B4 – Purpose: Real-Time Location Safety</t>
  </si>
  <si>
    <t xml:space="preserve">• Restrict collection + processing to live, real-time location only • Prohibit storage, caching, history creation, trajectory mapping, heat-mapping, replay or route intelligence • No analytical, predictive, forensic, advertising, behavioural, policing, or service-expansion use • Auto-terminate tracking immediately upon end of risk/safety event or session • Enforce access-control whitelist limited to authorised safety personnel • Maintain audit proof of real-time-only processing and auto-disable </t>
  </si>
  <si>
    <t>Exemption B5 – Purpose: Preventing Harmful Content</t>
  </si>
  <si>
    <t>• Implement system-level or network-layer content blocking controls only • No user-level targeting, behavioural analysis, scoring, interest mining, predictive filtering, sentiment inference, risk-profiling, or algorithmic segmentation • No retention, enrichment, or dataset building from blocked content events • Maintain audit trail evidencing non-profiling, non-personalised, non-behavioural approach • Apply least-function design—no commercial, advertising, marketing, optimisation, engagement, re</t>
  </si>
  <si>
    <t>Exemption B6 – Purpose: Age Confirmation (Rule 10)</t>
  </si>
  <si>
    <t>• Process personal data strictly and only to complete age-confirmation workflow • No secondary use, no enrichment, no inferencing, no behavioural, biometric, psychometric, or device-fingerprinting-based scoring • Delete artefacts, logs, training signals, and by-products immediately after confirmation outcome is issued, unless retention is legally mandatory and documented • Maintain verifiable evidence that no analytics, profiling, optimisation, ranking, or commercial inference models are run • A</t>
  </si>
  <si>
    <t>Exemption – Purpose B6 (Age Confirmation / Rule-10 Due Diligence)</t>
  </si>
  <si>
    <t>• Use verification data only for age confirmation • Delete artefacts &amp; by-products immediately post-verification • No storage, profiling, optimisation, enrichment, or model-training • No reuse across services, sessions, platforms, or affiliates</t>
  </si>
  <si>
    <t>Section 10(1) Read with Rule 13</t>
  </si>
  <si>
    <t>• Issue Board-approved DPO appointment resolution • Document reporting line to Board/Governing Body • Update governance, RACI &amp; conflict-free mandate • Publish DPO business contact details</t>
  </si>
  <si>
    <t>Section 10(1) Read with Rule 13(1) , 13(2)</t>
  </si>
  <si>
    <t>• Execute engagement with qualified and independent auditor • Maintain independence declaration and SoW • Define audit calendar, scope, methodology, artefact repository and submission deliverables</t>
  </si>
  <si>
    <t>Section 10(2)(c)(i) read with Rule 13(1)</t>
  </si>
  <si>
    <t>Mandatory Annual DPIA</t>
  </si>
  <si>
    <t>• Establish annual DPIA calendar • Apply approved DPIA framework (scope → processing → risk → mitigation) • Place findings before Board/ Governing Body where required</t>
  </si>
  <si>
    <t>Section 10(2)(c)(ii) read with Rule 13(1)</t>
  </si>
  <si>
    <t>Mandatory Annual Audit</t>
  </si>
  <si>
    <t>• Maintain audit findings register • Track audit remediation &amp; closure SLA • Escalate unresolved items to senior management • Engage Board accepted Audit Professionals.</t>
  </si>
  <si>
    <t>Section 10(2) read with  Rule 13(2)</t>
  </si>
  <si>
    <t>Regulatory Reporting of DPIA + Audit</t>
  </si>
  <si>
    <t>• Prepare final DPIA and audit observations report • Use Board-approved reporting format • Secure timestamped submission record • Retain Board acknowledgement evidence</t>
  </si>
  <si>
    <t>Section 8(5) read with  Rule 13(3)</t>
  </si>
  <si>
    <t>Technical Due-Diligence for Algorithmic &amp; Software Risks</t>
  </si>
  <si>
    <t>• Conduct algorithmic/systemic risk assessment • Assess risk associated/might be present to Data Principal Rights• Maintain model explainability &amp; documentation • Perform pre-production privacy, security &amp; resilience testing • Validate vendor controls if outsourced</t>
  </si>
  <si>
    <t>Rule 13(4) read with Rule 13(5)</t>
  </si>
  <si>
    <t>Data Fiduciary transferring Personal Data to outside India</t>
  </si>
  <si>
    <t>Data + Traffic Flow Localisation (If Specified)</t>
  </si>
  <si>
    <t>Maintain updated data-flow register and asset-to-location mapping • Implement in-India hosting, routing, backup and disaster-recovery pathways • Apply network-level and IAM-level geo-blocking for export pathways • Maintain evidence of localisation controls and periodic compliance testing</t>
  </si>
  <si>
    <t>Section 11-14 read with Rule 14(1)</t>
  </si>
  <si>
    <t>Rights Request Enablement &amp; Publishing Requirement</t>
  </si>
  <si>
    <t>• Publish rights request submission methods on website/app • Provide clear accepted identifiers list and validation steps • Ensure interface availability without friction • Maintain version-controlled publication record</t>
  </si>
  <si>
    <t>Section 11(1) read with Rule 14(2)</t>
  </si>
  <si>
    <t>Rights Request Submission Path</t>
  </si>
  <si>
    <t>• Use one controlled intake mechanism for all rights requests • Capture and store timestamp, submission channel, requester identifier, and linked consent record • Reject or re-route non-standard submissions with guidance to correct channel</t>
  </si>
  <si>
    <t>Section 11 read with Rule 14(1)(b)</t>
  </si>
  <si>
    <t>Rights-Enabling Identifier Requirements</t>
  </si>
  <si>
    <t>• Maintain authoritative identifier registry with lifecycle controls• Apply mandatory identity verification before processing any rights request• Use multi-factor evidence checks where risk or sensitivity is high• Log identity verification method + proof before request is accepted</t>
  </si>
  <si>
    <t>Section 11(1)(a)-(c) read with Rule 14</t>
  </si>
  <si>
    <t>Rights Response Content – Right to Access</t>
  </si>
  <si>
    <t>• Issue standardised, structured, machine-readable access report (portal/App) • Include data categories, purpose, processing actions, retention status, lawful basis &amp; recipient registry • Clearly mark legal-exclusion cases • Maintain audit log (identifier used, timestamp, disclosure scope)</t>
  </si>
  <si>
    <t>Section 12(1)-(3) read with Rule 14</t>
  </si>
  <si>
    <t>Rights to Correction, Completion, Updating &amp; Erasure</t>
  </si>
  <si>
    <t>• Provide digital and verifiable request channel • Validate identity + scope before processing the request • For erasure, verify retention necessity under law/contract/ongoing purpose • Synchronise corrections or deletions across all linked systems and processors • Maintain immutable evidence log (request → decision → action timestamp)</t>
  </si>
  <si>
    <t>Section 13(1)-(3) read with Rule 14(3)</t>
  </si>
  <si>
    <t>Grievance Redress System Obligations</t>
  </si>
  <si>
    <t>• Maintain accessible and recordable channels (portal/app/email/ticketing) • Publish grievance contacts + workflow • Acknowledge, track, and close within ≤ 90 days • Maintain complete audit evidence (ticket ID, timestamps, comms, closure record) • Notify processors/partners where outcome impacts processing</t>
  </si>
  <si>
    <t>Section 14(1)-(2) read with Rule 14(4)</t>
  </si>
  <si>
    <t>Nomination Rights</t>
  </si>
  <si>
    <t>• Provide secure digital nomination interface (portal/form) • Capture nominee identity using validated identifiers • Maintain tamper-proof nomination record including timestamp, version, and link to DP profile • Provide update/revocation workflow with audit logs • Establish activation protocol for nominee after proof of death or incapacity</t>
  </si>
  <si>
    <t>Section 13 read with Rule 14(3)</t>
  </si>
  <si>
    <t>Data Fiduciary /Consent Managers</t>
  </si>
  <si>
    <t>Publishing of Time-Bound Grievance Response Capability</t>
  </si>
  <si>
    <t>• Display grievance channel + SLA prominently • Auto-acknowledge ticket with reference ID</t>
  </si>
  <si>
    <t>Section 16 (1)read with Rule 15</t>
  </si>
  <si>
    <t>Cross-Border Personal Data Transfer Enablement</t>
  </si>
  <si>
    <t>• Maintain Cross-Border Data Transfer Policy • Conduct destination country regulatory + adequacy assessment • Allow transfer only if no restrictive notification applies • Implement whitelist/blacklist controls in systems • Obtain contractual + security safeguards from recipient • Maintain transfer approval + evidence file</t>
  </si>
  <si>
    <t>Section 16 (2)read with Rule 15</t>
  </si>
  <si>
    <t>Compliance With Higher Restriction Laws</t>
  </si>
  <si>
    <t>• Map all Indian cross-border rules (RBI, IRDAI, SEBI, MeitY, CERT-In, UIDAI, etc.) • Enforce multi-layer legal compatibility test before transfer • Maintain sector-specific compliance register</t>
  </si>
  <si>
    <t>Section 17 (2)(b) read with Rule 16</t>
  </si>
  <si>
    <t>Data Fiduciary Engaged in Processing Personal Data for research, archiving, or statistical purposes</t>
  </si>
  <si>
    <t>Eligibility for Research / Archiving / Statistical Exemption</t>
  </si>
  <si>
    <t>• Conduct eligibility assessment checklist • Prepare written exemption justification memo • Approve via privacy + legal workflow</t>
  </si>
  <si>
    <t>Lawfulness of Research Processing</t>
  </si>
  <si>
    <t>• Maintain written legal basis note before ingest • Confirm no repurposing into commercial profiling, credit, insurance, eligibility or marketing</t>
  </si>
  <si>
    <t>Personal Data Minimisation Requirement</t>
  </si>
  <si>
    <t>• Use data minimisation matrix • Apply masking, tokenisation, or sampling where feasible</t>
  </si>
  <si>
    <t>Accuracy, Completeness &amp; Consistency</t>
  </si>
  <si>
    <t>• Implement data validation + de-duplication ruleset • Log and correct data quality exceptions</t>
  </si>
  <si>
    <t>Retention Limitation</t>
  </si>
  <si>
    <t>• Define retention period at project start • Enable auto-purge + deletion certificate workflow</t>
  </si>
  <si>
    <t>• Store data in segregated research zone • Enforce RBAC, MFA, encryption, logging, export controls</t>
  </si>
  <si>
    <t>Accountability Obligation</t>
  </si>
  <si>
    <t>• Assign Research Data Owner + Data Steward roles • Maintain full compliance evidence repository</t>
  </si>
  <si>
    <t>Section 36 read with Rule 23</t>
  </si>
  <si>
    <t>Furnishing Information to Central Government</t>
  </si>
  <si>
    <t>• Maintain Regulatory Request Handling SOP • Verify request authority + purpose alignment • Use secure, logged transmission • Maintain confidentiality where directed • Record evidence + chain-of-custody in compliance register</t>
  </si>
  <si>
    <t>DPDP COMPLIANCE FRAMEWORK — GRANULAR CONTROL ASSESSMENT WITH TRACKING</t>
  </si>
  <si>
    <t>Ref. Act</t>
  </si>
  <si>
    <t>Ref. Rule</t>
  </si>
  <si>
    <t>Act Description</t>
  </si>
  <si>
    <t>Rule Description</t>
  </si>
  <si>
    <t>Nature of Activity</t>
  </si>
  <si>
    <t>Applicability</t>
  </si>
  <si>
    <t>A1.1</t>
  </si>
  <si>
    <t>Sec 5(1)</t>
  </si>
  <si>
    <t>Rule 4(1)</t>
  </si>
  <si>
    <t>Notice must describe categories of personal data and the purpose before/with consent.</t>
  </si>
  <si>
    <t>Mandatory notice elements including purpose, data categories, rights, grievance details.</t>
  </si>
  <si>
    <t>Draft and Serve Privacy Notice</t>
  </si>
  <si>
    <t>DF + SDF</t>
  </si>
  <si>
    <t>A1.2</t>
  </si>
  <si>
    <t>Sec 5(1)(ii)</t>
  </si>
  <si>
    <t>Rule 4(2)(a)</t>
  </si>
  <si>
    <t>Notice must inform DP of rights under Sec 6(4) and Sec 13.</t>
  </si>
  <si>
    <t>DF must publish DP rights mechanisms.</t>
  </si>
  <si>
    <t>Publish Rights Exercise Procedure</t>
  </si>
  <si>
    <t>A1.3</t>
  </si>
  <si>
    <t>Sec 5(1)(iii)</t>
  </si>
  <si>
    <t>Rule 4(2)(b)</t>
  </si>
  <si>
    <t>Notice must specify grievance mechanism and contact.</t>
  </si>
  <si>
    <t>DF must publish grievance timelines + contacts within 90 days.</t>
  </si>
  <si>
    <t>Publish Grievance Redress Details</t>
  </si>
  <si>
    <t>A1.4</t>
  </si>
  <si>
    <t>Sec 5(3)</t>
  </si>
  <si>
    <t>Notice must be available in English or Eighth Schedule language.</t>
  </si>
  <si>
    <t>Supports multilingual availability.</t>
  </si>
  <si>
    <t>Multilingual Notice Availability</t>
  </si>
  <si>
    <t>A1.5</t>
  </si>
  <si>
    <t>Sec 5(2)</t>
  </si>
  <si>
    <t>Rule 4(3)</t>
  </si>
  <si>
    <t>DF must issue fresh notice for pre-Act consent.</t>
  </si>
  <si>
    <t>Sets format/timeline for legacy notices.</t>
  </si>
  <si>
    <t>Legacy Consent Notice Issuance</t>
  </si>
  <si>
    <t>A1.6</t>
  </si>
  <si>
    <t>Sec 5</t>
  </si>
  <si>
    <t>Rule 14(1)</t>
  </si>
  <si>
    <t>Notice must include DF/DPO contact info.</t>
  </si>
  <si>
    <t>Requires publication on website/app.</t>
  </si>
  <si>
    <t>Publish DF/DPO Contact Details</t>
  </si>
  <si>
    <t>A1.7</t>
  </si>
  <si>
    <t>Sec 5 + Sec 6(3)</t>
  </si>
  <si>
    <t>Rule 4</t>
  </si>
  <si>
    <t>Notice must be separate from T&amp;Cs and clearly structured.</t>
  </si>
  <si>
    <t>Rule enforces clarity and plain language.</t>
  </si>
  <si>
    <t>Separate Notice from T&amp;Cs</t>
  </si>
  <si>
    <t>Sr. No. (A2 — Consent Requirements)</t>
  </si>
  <si>
    <t>A2.1</t>
  </si>
  <si>
    <t>Sec 6(1)</t>
  </si>
  <si>
    <t>—</t>
  </si>
  <si>
    <t>Consent must be free, specific, informed, unambiguous, affirmative.</t>
  </si>
  <si>
    <t>Valid Consent Capture</t>
  </si>
  <si>
    <t>A2.2</t>
  </si>
  <si>
    <t>Consent must be purpose-limited.</t>
  </si>
  <si>
    <t>Rule supports segmentation of notice items.</t>
  </si>
  <si>
    <t>Purpose-limited Consent Design</t>
  </si>
  <si>
    <t>A2.3</t>
  </si>
  <si>
    <t>Sec 6(2)</t>
  </si>
  <si>
    <t>Any unlawful portion of consent is void.</t>
  </si>
  <si>
    <t>Consent Validity Review</t>
  </si>
  <si>
    <t>A2.4</t>
  </si>
  <si>
    <t>Sec 6(3)</t>
  </si>
  <si>
    <t>Consent request must be clear, plain language.</t>
  </si>
  <si>
    <t>Rule mandates simple and readable format.</t>
  </si>
  <si>
    <t>Plain-language Consent Request</t>
  </si>
  <si>
    <t>A2.5</t>
  </si>
  <si>
    <t>Consent request must include DF/DPO contact.</t>
  </si>
  <si>
    <t>Requires accessible publication.</t>
  </si>
  <si>
    <t>Include Contact in Consent Request</t>
  </si>
  <si>
    <t>A2.6</t>
  </si>
  <si>
    <t>Sec 6(4)</t>
  </si>
  <si>
    <t>Rule 14</t>
  </si>
  <si>
    <t>Withdrawal must be as easy as giving consent.</t>
  </si>
  <si>
    <t>Requires DF to publish mechanism within 90 days.</t>
  </si>
  <si>
    <t>Consent Withdrawal Mechanism</t>
  </si>
  <si>
    <t>A2.7</t>
  </si>
  <si>
    <t>Sec 6(5)</t>
  </si>
  <si>
    <t>DF must stop processing when consent withdrawn unless legally required otherwise.</t>
  </si>
  <si>
    <t>Stop Processing After Withdrawal</t>
  </si>
  <si>
    <t>A2.8</t>
  </si>
  <si>
    <t>Sec 6(6)</t>
  </si>
  <si>
    <t>Rule 8</t>
  </si>
  <si>
    <t>DF must ensure processors cease processing on withdrawal.</t>
  </si>
  <si>
    <t>Rule ties this to erasure obligations.</t>
  </si>
  <si>
    <t>Processor Cessation Instruction</t>
  </si>
  <si>
    <t>DF (via contract)</t>
  </si>
  <si>
    <t>A2.9</t>
  </si>
  <si>
    <t>Sec 6(7)</t>
  </si>
  <si>
    <t>Rule 7</t>
  </si>
  <si>
    <t>DP may use a Consent Manager to give/manage consent.</t>
  </si>
  <si>
    <t>Rule defines Consent Manager duties + registration.</t>
  </si>
  <si>
    <t>Integrate Consent Manager</t>
  </si>
  <si>
    <t>A2.10</t>
  </si>
  <si>
    <t>Sec 6(8)</t>
  </si>
  <si>
    <t>Consent Managers must act only on DP instructions; accountable to DP.</t>
  </si>
  <si>
    <t>Rule outlines CM transparency + logs.</t>
  </si>
  <si>
    <t>Ensure CM Accountability</t>
  </si>
  <si>
    <t>A2.11</t>
  </si>
  <si>
    <t>Sec 6(10)</t>
  </si>
  <si>
    <t>DF must prove notice + consent validity if challenged.</t>
  </si>
  <si>
    <t>Maintain Consent Logs &amp; Evidence</t>
  </si>
  <si>
    <t>Sr. No. (A3 — Voluntary Data Supply)</t>
  </si>
  <si>
    <t>A3.1</t>
  </si>
  <si>
    <t>Sec 7(a)</t>
  </si>
  <si>
    <t>DF may process voluntarily supplied data for a specific purpose unless DP objects.</t>
  </si>
  <si>
    <t>Notice obligations still apply for voluntary data.</t>
  </si>
  <si>
    <t>Voluntary Data Processing</t>
  </si>
  <si>
    <t>A3.2</t>
  </si>
  <si>
    <t>Sec 7(a) Illustration</t>
  </si>
  <si>
    <t>DF must cease processing when DP objects.</t>
  </si>
  <si>
    <t>Opt-out Handling</t>
  </si>
  <si>
    <t>Sr. No. (A4 — Children / PWD Requirements)</t>
  </si>
  <si>
    <t>A4.1</t>
  </si>
  <si>
    <t>Sec 9(1)</t>
  </si>
  <si>
    <t>Rule 12</t>
  </si>
  <si>
    <t>Must obtain verifiable parental/guardian consent before processing child/PWD data.</t>
  </si>
  <si>
    <t>Sets verification rules + exemptions (Fourth Schedule).</t>
  </si>
  <si>
    <t>Parental/Guardian Consent Mechanism</t>
  </si>
  <si>
    <t>A4.2</t>
  </si>
  <si>
    <t>Sec 9(3)</t>
  </si>
  <si>
    <t>Fourth Schedule</t>
  </si>
  <si>
    <t>No tracking, monitoring, profiling, targeted ads for children.</t>
  </si>
  <si>
    <t>Fourth Schedule exemptions for safety/education.</t>
  </si>
  <si>
    <t>Child-protective Processing Controls</t>
  </si>
  <si>
    <t>Sr. No. (A5 — Publication &amp; Accessibility Requirements)</t>
  </si>
  <si>
    <t>A5.1</t>
  </si>
  <si>
    <t>Notice must be in English or Eighth Schedule language.</t>
  </si>
  <si>
    <t>Requires DF to publish grievance + rights info.</t>
  </si>
  <si>
    <t>Multilingual Publication</t>
  </si>
  <si>
    <t>A5.2</t>
  </si>
  <si>
    <t>DF/DPO contact must be easily accessible.</t>
  </si>
  <si>
    <t>Publication on website/app mandatory.</t>
  </si>
  <si>
    <t>Publish DF/DPO Contact</t>
  </si>
  <si>
    <t>Sr. No. (A6 — Consent Logs, Withdrawal Evidence &amp; UI/UX Controls)</t>
  </si>
  <si>
    <t>A6.1</t>
  </si>
  <si>
    <t>DF must prove that notice was given and consent was obtained validly.</t>
  </si>
  <si>
    <t>Maintain Consent Evidence Repository</t>
  </si>
  <si>
    <t>A6.2</t>
  </si>
  <si>
    <t>UI must capture consent as a clear affirmative action; no pre-ticked boxes or implied consent.</t>
  </si>
  <si>
    <t>Rule enforces consent to be explicit and unambiguous.</t>
  </si>
  <si>
    <t>UI/UX Consent Capture Control</t>
  </si>
  <si>
    <t>A6.3</t>
  </si>
  <si>
    <t>Sec 6(1), Sec 6(3)</t>
  </si>
  <si>
    <t>Consent UI must be in clear and plain language.</t>
  </si>
  <si>
    <t>Rule mandates readability and user-friendly formatting.</t>
  </si>
  <si>
    <t>Consent UI Readability Standard</t>
  </si>
  <si>
    <t>A6.4</t>
  </si>
  <si>
    <t>Consent must be purpose-specific; UI must clearly separate each purpose.</t>
  </si>
  <si>
    <t>Rule requires detailing of data categories and purposes.</t>
  </si>
  <si>
    <t>Granular Purpose-wise Consent Options</t>
  </si>
  <si>
    <t>A6.5</t>
  </si>
  <si>
    <t>UI must provide option to access notice in English or Eighth Schedule language.</t>
  </si>
  <si>
    <t>Rule requires notices in all supported languages.</t>
  </si>
  <si>
    <t>Multilingual Consent UI Availability</t>
  </si>
  <si>
    <t>A6.6</t>
  </si>
  <si>
    <t>Withdrawal must be as easy as giving consent — same UI channel or equivalent.</t>
  </si>
  <si>
    <t>Requires published withdrawal mechanism within 90 days.</t>
  </si>
  <si>
    <t>Withdrawal UI/UX Parity Control</t>
  </si>
  <si>
    <t>A6.7</t>
  </si>
  <si>
    <t>UI must clearly indicate the consequences of withdrawal.</t>
  </si>
  <si>
    <t>Withdrawal Consequences Disclosure</t>
  </si>
  <si>
    <t>A6.8</t>
  </si>
  <si>
    <t>Processor must cease processing when consent is withdrawn; DF must document this in logs.</t>
  </si>
  <si>
    <t>Rule aligns withdrawal with erasure instruction obligations.</t>
  </si>
  <si>
    <t>Processor Withdrawal Log &amp; Instruction Record</t>
  </si>
  <si>
    <t>A6.9</t>
  </si>
  <si>
    <t>Consent logs must be timestamped and attributable to the DP.</t>
  </si>
  <si>
    <t>Timestamped Consent Capture Logs</t>
  </si>
  <si>
    <t>A6.10</t>
  </si>
  <si>
    <t>DF must maintain immutable logs of consent withdrawals.</t>
  </si>
  <si>
    <t>Withdrawal Evidence Retention</t>
  </si>
  <si>
    <t>A6.11</t>
  </si>
  <si>
    <t>Sec 6(7), 6(8)</t>
  </si>
  <si>
    <t>If DP uses a Consent Manager, DF must store CM tokens/messages as evidence.</t>
  </si>
  <si>
    <t>Rule sets CM transparency + action-logging obligations.</t>
  </si>
  <si>
    <t>CM-based Consent Activity Logging</t>
  </si>
  <si>
    <t>DF + SDF + CM</t>
  </si>
  <si>
    <t>A6.12</t>
  </si>
  <si>
    <t>Sec 8(3)</t>
  </si>
  <si>
    <t>Rule 4, Rule 5</t>
  </si>
  <si>
    <t>When personal data is disclosed to another DF upon consent, DF must verify logs for completeness and accuracy.</t>
  </si>
  <si>
    <t>Rule reinforces accuracy obligations.</t>
  </si>
  <si>
    <t>Consent Verification Before Data Disclosure</t>
  </si>
  <si>
    <t>A6.13</t>
  </si>
  <si>
    <t>Sec 5 + Sec 6</t>
  </si>
  <si>
    <t>Consent UI must not bundle consent with T&amp;Cs or service acceptance.</t>
  </si>
  <si>
    <t>Rule enforces separation of notice and consent request.</t>
  </si>
  <si>
    <t>Unbundled Consent UI Control</t>
  </si>
  <si>
    <t>A6.14</t>
  </si>
  <si>
    <t>Consent UI must avoid dark patterns, nudging, coercive flows.</t>
  </si>
  <si>
    <t>Plain-language + clarity requirement prohibits manipulative UI.</t>
  </si>
  <si>
    <t>Anti-Dark Pattern Consent Design</t>
  </si>
  <si>
    <t>A6.15</t>
  </si>
  <si>
    <t>Sec 5(1) + Sec 6(3)</t>
  </si>
  <si>
    <t>UI must allow DP to easily access the notice before clicking Accept.</t>
  </si>
  <si>
    <t>Rule enforces availability of notice prior to consent.</t>
  </si>
  <si>
    <t>Pre-consent Notice Access UI Control</t>
  </si>
  <si>
    <t>A6.16</t>
  </si>
  <si>
    <t>Sec 5(1), Sec 6(3)</t>
  </si>
  <si>
    <t>Consent screen must identify DF clearly (no hidden or ambiguous identity).</t>
  </si>
  <si>
    <t>Rule requires clear disclosure of DF identity.</t>
  </si>
  <si>
    <t>DF Identity Disclosure in Consent UI</t>
  </si>
  <si>
    <t>A6.17</t>
  </si>
  <si>
    <t>UI must allow withdrawal from mobile/web/email channels (equal ease as giving).</t>
  </si>
  <si>
    <t>Rule mandates online publication of process.</t>
  </si>
  <si>
    <t>Multichannel Withdrawal Implementation</t>
  </si>
  <si>
    <t>A6.18</t>
  </si>
  <si>
    <t>Sec 8(7)</t>
  </si>
  <si>
    <t>When withdrawal triggers erasure, UI must trigger erasure workflow automatically.</t>
  </si>
  <si>
    <t>Rule requires linkage to retention/erasure processes.</t>
  </si>
  <si>
    <t>UI-driven Erasure Trigger on Withdrawal</t>
  </si>
  <si>
    <t>A6.19</t>
  </si>
  <si>
    <t>DF must store the exact notice version shown at the time of consent.</t>
  </si>
  <si>
    <t>Version-controlled Notice Storage</t>
  </si>
  <si>
    <t>A6.20</t>
  </si>
  <si>
    <t>UI must provide fallback instructions where legal retention overrides withdrawal.</t>
  </si>
  <si>
    <t>Retention Exception Display</t>
  </si>
  <si>
    <t>Sr. No. (A7 — Advanced Consent Operations &amp; Auditability)</t>
  </si>
  <si>
    <t>A7.1</t>
  </si>
  <si>
    <t>DF must produce consent evidence when challenged by DP/Board.</t>
  </si>
  <si>
    <t>Consent Audit Trail Maintenance</t>
  </si>
  <si>
    <t>A7.2</t>
  </si>
  <si>
    <t>DF must maintain immutable logs of consent grants, revisions, withdrawals.</t>
  </si>
  <si>
    <t>Immutable Consent Log System</t>
  </si>
  <si>
    <t>A7.3</t>
  </si>
  <si>
    <t>Withdrawal workflow must be end-to-end automated (initiation → processing stop → processor instruction).</t>
  </si>
  <si>
    <t>Rule requires withdrawal mechanism to be published within 90 days.</t>
  </si>
  <si>
    <t>Automated Withdrawal Workflow</t>
  </si>
  <si>
    <t>A7.4</t>
  </si>
  <si>
    <t>DF must notify processors to stop processing and erase data once consent is withdrawn, and record confirmation.</t>
  </si>
  <si>
    <t>Rule ties processor obligations to DF instructions.</t>
  </si>
  <si>
    <t>Processor Withdrawal Confirmation Tracking</t>
  </si>
  <si>
    <t>DF (contractually on DP)</t>
  </si>
  <si>
    <t>A7.5</t>
  </si>
  <si>
    <t>DF must ensure consent logs are accurate before sharing data with another DF.</t>
  </si>
  <si>
    <t>Pre-disclosure Consent Verification</t>
  </si>
  <si>
    <t>A7.6</t>
  </si>
  <si>
    <t>When consent comes via Consent Manager, DF must align its logs with CM timestamp and identifiers.</t>
  </si>
  <si>
    <t>Rule mandates CM traceability + transparency.</t>
  </si>
  <si>
    <t>CM–DF Consent Synchronization</t>
  </si>
  <si>
    <t>A7.7</t>
  </si>
  <si>
    <t>Consent captured offline (paper, call, in-person) must be digitized and logged equivalently.</t>
  </si>
  <si>
    <t>Rule requires uniform clarity + accessibility.</t>
  </si>
  <si>
    <t>Offline-to-Digital Consent Logging</t>
  </si>
  <si>
    <t>A7.8</t>
  </si>
  <si>
    <t>Multiple consent surfaces (app, web, POS, call-centre) must use consistent language and purpose definitions.</t>
  </si>
  <si>
    <t>Rule enforces plain-language and consistency.</t>
  </si>
  <si>
    <t>Multi-channel Consent Harmonization</t>
  </si>
  <si>
    <t>A7.9</t>
  </si>
  <si>
    <t>DF must store a copy of the notice version shown to the DP at the time of consent.</t>
  </si>
  <si>
    <t>Rule mandates clarity + version handling.</t>
  </si>
  <si>
    <t>Notice Version Control Storage</t>
  </si>
  <si>
    <t>A7.10</t>
  </si>
  <si>
    <t>Consent validity must be reconfirmed if DF changes purpose or expands data categories.</t>
  </si>
  <si>
    <t>Consent Revalidation Workflow</t>
  </si>
  <si>
    <t>A7.11</t>
  </si>
  <si>
    <t>Sec 5 + 6</t>
  </si>
  <si>
    <t>Consent capture must be decoupled from account creation, login or service access unless strictly necessary.</t>
  </si>
  <si>
    <t>Rule discourages bundled consent.</t>
  </si>
  <si>
    <t>No Bundled Consent Enforcer</t>
  </si>
  <si>
    <t>A7.12</t>
  </si>
  <si>
    <t>Withdrawal instructions must be acknowledged and timestamped.</t>
  </si>
  <si>
    <t>Requires publication of mechanism.</t>
  </si>
  <si>
    <t>Withdrawal Acknowledgement Workflow</t>
  </si>
  <si>
    <t>A7.13</t>
  </si>
  <si>
    <t>System must handle partial withdrawals (purpose-level withdrawal).</t>
  </si>
  <si>
    <t>Granular Withdrawal Processing</t>
  </si>
  <si>
    <t>A7.14</t>
  </si>
  <si>
    <t>Withdrawal must trigger retention review and erasure workflow.</t>
  </si>
  <si>
    <t>Rule aligns withdrawal to erasure obligations.</t>
  </si>
  <si>
    <t>Withdrawal-triggered Erasure Processing</t>
  </si>
  <si>
    <t>A7.15</t>
  </si>
  <si>
    <t>If notice is updated, DF must make new notice available before next consent request.</t>
  </si>
  <si>
    <t>Rule enforces clarity + transparency.</t>
  </si>
  <si>
    <t>Notice Update Publishing</t>
  </si>
  <si>
    <t>A7.16</t>
  </si>
  <si>
    <t>DF must maintain mapping of each consent to processing purpose and system/service consuming it.</t>
  </si>
  <si>
    <t>Consent-to-Purpose Mapping</t>
  </si>
  <si>
    <t>A7.17</t>
  </si>
  <si>
    <t>Consent logs must be accessible for Board inquiries or DPA proceedings.</t>
  </si>
  <si>
    <t>Consent Log Retrieval Readiness</t>
  </si>
  <si>
    <t>A7.18</t>
  </si>
  <si>
    <t>DF must provide alternative notice formats for accessibility (large text, screen reader friendly).</t>
  </si>
  <si>
    <t>Rule implies accessibility obligations via language + clarity requirements.</t>
  </si>
  <si>
    <t>Accessibility Adapted Consent Interfaces</t>
  </si>
  <si>
    <t>A7.19</t>
  </si>
  <si>
    <t>DF must ensure consent is not collected via deceptive UI (dark patterns, forced scrolling, confusing toggles).</t>
  </si>
  <si>
    <t>Rule enforces plain and transparent language.</t>
  </si>
  <si>
    <t>UI Dark Pattern Prevention</t>
  </si>
  <si>
    <t>A7.20</t>
  </si>
  <si>
    <t>DF systems must preserve processing necessary to fulfil past transactions even after consent withdrawal.</t>
  </si>
  <si>
    <t>Transactional Retention Exception Handling</t>
  </si>
  <si>
    <t>A7.21</t>
  </si>
  <si>
    <t>CM-issued withdrawal commands must be reconciled with DF systems within defined SLA.</t>
  </si>
  <si>
    <t>Rule defines CM obligations.</t>
  </si>
  <si>
    <t>Consent Manager Withdrawal Sync Process</t>
  </si>
  <si>
    <t>A7.22</t>
  </si>
  <si>
    <t>If consent is taken through third-party channels (e.g., partner apps), DF must verify compliance with DPDP notice + consent standards.</t>
  </si>
  <si>
    <t>Rule mandates DF accountability.</t>
  </si>
  <si>
    <t>Third-party Consent Compliance Validation</t>
  </si>
  <si>
    <t>A7.23</t>
  </si>
  <si>
    <t>Data quality checks must verify that consent aligns with the data categories being processed.</t>
  </si>
  <si>
    <t>Rule requires completeness &amp; accuracy.</t>
  </si>
  <si>
    <t>Consent-to-Data Quality Check</t>
  </si>
  <si>
    <t>A7.24</t>
  </si>
  <si>
    <t>System must prevent processing before consent is recorded.</t>
  </si>
  <si>
    <t>Pre-consent Processing Blocker</t>
  </si>
  <si>
    <t>A7.25</t>
  </si>
  <si>
    <t>DF must retain consent and withdrawal evidence for the entire duration personal data is processed.</t>
  </si>
  <si>
    <t>Consent Evidence Retention</t>
  </si>
  <si>
    <t>Sr. No. (A8 — System-Level Consent &amp; Notice Adjacent Controls)</t>
  </si>
  <si>
    <t>A8.1</t>
  </si>
  <si>
    <t>Notice must remain accessible to DP after consent is provided.</t>
  </si>
  <si>
    <t>Rule supports persistent visibility of notice components.</t>
  </si>
  <si>
    <t>Persistent Notice Display Post-Consent</t>
  </si>
  <si>
    <t>A8.2</t>
  </si>
  <si>
    <t>APIs, SDKs, embedded widgets must follow same notice + consent rules as native app.</t>
  </si>
  <si>
    <t>Rule enforces uniform implementation.</t>
  </si>
  <si>
    <t>Third-party API/SDK Consent Compliance</t>
  </si>
  <si>
    <t>A8.3</t>
  </si>
  <si>
    <t>Session-level processing must not begin before consent verification.</t>
  </si>
  <si>
    <t>Pre-processing Consent Check in Sessions</t>
  </si>
  <si>
    <t>A8.4</t>
  </si>
  <si>
    <t>Consent notice must be available within any embedded/webview flow.</t>
  </si>
  <si>
    <t>Plain-language, clear presentation required.</t>
  </si>
  <si>
    <t>Webview / Embedded Consent Compliance</t>
  </si>
  <si>
    <t>A8.5</t>
  </si>
  <si>
    <t>Email/SMS consent capture must include a valid, accessible withdrawal link/path.</t>
  </si>
  <si>
    <t>Rule requires withdrawal mechanism to be published.</t>
  </si>
  <si>
    <t>Email/SMS Withdrawal Enablement</t>
  </si>
  <si>
    <t>A8.6</t>
  </si>
  <si>
    <t>Consent must not be obtained via system nudges: pop-ups that block functionality without justification.</t>
  </si>
  <si>
    <t>Plain language + fairness requirement.</t>
  </si>
  <si>
    <t>Anti-Coercive Consent UX Pattern</t>
  </si>
  <si>
    <t>A8.7</t>
  </si>
  <si>
    <t>Alternate interface (IVR, call, kiosk) must allow notice + consent in supported languages.</t>
  </si>
  <si>
    <t>Rule: multilingual accessibility.</t>
  </si>
  <si>
    <t>Multi-interface Multilingual Notice Support</t>
  </si>
  <si>
    <t>A8.8</t>
  </si>
  <si>
    <t>System must retain consent metadata (IP, timestamp, channel, device) when obtained digitally.</t>
  </si>
  <si>
    <t>Consent Metadata Capture</t>
  </si>
  <si>
    <t>A8.9</t>
  </si>
  <si>
    <t>Logs must differentiate between fresh consent, renewed consent, updated consent.</t>
  </si>
  <si>
    <t>Consent Type Classification Logging</t>
  </si>
  <si>
    <t>A8.10</t>
  </si>
  <si>
    <t>Sec 6</t>
  </si>
  <si>
    <t>Consent expiry/staleness rules must be configured (e.g., inactivity thresholds).</t>
  </si>
  <si>
    <t>Rule enables periodic reviews.</t>
  </si>
  <si>
    <t>Consent Staleness Review</t>
  </si>
  <si>
    <t>A8.11</t>
  </si>
  <si>
    <t>Before processing for new purpose, DF must validate compatibility and obtain fresh consent.</t>
  </si>
  <si>
    <t>Rule addresses updated purposes.</t>
  </si>
  <si>
    <t>Purpose Expansion Validation</t>
  </si>
  <si>
    <t>A8.12</t>
  </si>
  <si>
    <t>Sec 8(4)</t>
  </si>
  <si>
    <t>When data quality checks fail, consent must be revalidated.</t>
  </si>
  <si>
    <t>Rule links accuracy with processing continuation.</t>
  </si>
  <si>
    <t>Consent Revalidation on Quality Issue</t>
  </si>
  <si>
    <t>A8.13</t>
  </si>
  <si>
    <t>Withdrawal submitted through third-party channels must be captured and acted on.</t>
  </si>
  <si>
    <t>Rule: DF accountable for mechanism.</t>
  </si>
  <si>
    <t>Third-Party Withdrawal Capture</t>
  </si>
  <si>
    <t>A8.14</t>
  </si>
  <si>
    <t>Erasure triggered by withdrawal must be logged as part of the consent lifecycle.</t>
  </si>
  <si>
    <t>Rule aligns erasure with retention.</t>
  </si>
  <si>
    <t>Withdrawal-Erasure Lifecycle Logging</t>
  </si>
  <si>
    <t>A8.15</t>
  </si>
  <si>
    <t>Voluntary supply of personal data must still be logged separately from consent-based processing.</t>
  </si>
  <si>
    <t>Voluntary Data Submission Logging</t>
  </si>
  <si>
    <t>A8.16</t>
  </si>
  <si>
    <t>Automated decisioning systems must not infer consent from behavior (e.g., scrolling, hovering).</t>
  </si>
  <si>
    <t>Behavioral Inference Consent Block</t>
  </si>
  <si>
    <t>A8.17</t>
  </si>
  <si>
    <t>Delegated consent (e.g., guardian, enterprise-level consent) must include verification chain.</t>
  </si>
  <si>
    <t>Rule enforces clarity and legitimacy.</t>
  </si>
  <si>
    <t>Delegated Consent Chain Verification</t>
  </si>
  <si>
    <t>A8.18</t>
  </si>
  <si>
    <t>When Consent Manager is used, DF must store CM-issued consent intent tokens.</t>
  </si>
  <si>
    <t>Rule: CM transparency and logs.</t>
  </si>
  <si>
    <t>Consent Manager Token Storage</t>
  </si>
  <si>
    <t>A8.19</t>
  </si>
  <si>
    <t>Retention enforcement tools must track consent expiry + withdrawal as triggers.</t>
  </si>
  <si>
    <t>Rule 8 sets erasure requirements.</t>
  </si>
  <si>
    <t>Retention-Consent Trigger Control</t>
  </si>
  <si>
    <t>A8.20</t>
  </si>
  <si>
    <t>Sec 6 + Sec 8</t>
  </si>
  <si>
    <t>Shared accounts must confirm identity of DP giving consent to avoid proxy consent misuse.</t>
  </si>
  <si>
    <t>Rule: clarity + accountability.</t>
  </si>
  <si>
    <t>Shared Account Consent Verification</t>
  </si>
  <si>
    <t>A8.21</t>
  </si>
  <si>
    <t>Consent must be distinguished from user preferences (e.g., marketing prefs vs. legal consent).</t>
  </si>
  <si>
    <t>Consent vs Preference Separation</t>
  </si>
  <si>
    <t>A8.22</t>
  </si>
  <si>
    <t>DF must support accessible consent for visually impaired, elderly, or low-literacy users.</t>
  </si>
  <si>
    <t>Rule implies accessibility through clarity + language availability.</t>
  </si>
  <si>
    <t>Accessibility-first Consent Enablement</t>
  </si>
  <si>
    <t>A8.23</t>
  </si>
  <si>
    <t>Consent logs must support audit extraction in regulator-ready formats.</t>
  </si>
  <si>
    <t>Consent Audit Export Capability</t>
  </si>
  <si>
    <t>A8.24</t>
  </si>
  <si>
    <t>Withdrawal triggered in one service must propagate to all systems processing the same data for same purpose.</t>
  </si>
  <si>
    <t>Cross-System Withdrawal Propagation</t>
  </si>
  <si>
    <t>A8.25</t>
  </si>
  <si>
    <t>Incident logs must record any failure/delay in honoring consent withdrawal.</t>
  </si>
  <si>
    <t>Rule frames DF accountability.</t>
  </si>
  <si>
    <t>Withdrawal Failure Incident Logging</t>
  </si>
  <si>
    <t>Sr. No. (B1 — Lawful Purpose Requirements)</t>
  </si>
  <si>
    <t>B1.1</t>
  </si>
  <si>
    <t>Sec 4(1)</t>
  </si>
  <si>
    <t>DF may process personal data only for a lawful purpose and in accordance with the Act.</t>
  </si>
  <si>
    <t>Lawful Purpose Assessment</t>
  </si>
  <si>
    <t>B1.2</t>
  </si>
  <si>
    <t>If processing is based on consent, lawful purpose must be disclosed in notice.</t>
  </si>
  <si>
    <t>Rule 4 mandates stating purpose clearly in notice.</t>
  </si>
  <si>
    <t>Purpose Disclosure in Notice</t>
  </si>
  <si>
    <t>B1.3</t>
  </si>
  <si>
    <t>Lawful purpose = any purpose not expressly forbidden by law.</t>
  </si>
  <si>
    <t>Purpose Screening Against Prohibitions</t>
  </si>
  <si>
    <t>B1.4</t>
  </si>
  <si>
    <t>Each purpose must be explicit, specific and linked to processing necessity.</t>
  </si>
  <si>
    <t>Rule enforces purpose-level clarity.</t>
  </si>
  <si>
    <t>Purpose Definition &amp; Documentation</t>
  </si>
  <si>
    <t>B1.5</t>
  </si>
  <si>
    <t>DF must map each processing activity to a lawful purpose before processing begins.</t>
  </si>
  <si>
    <t>Data Processing–Purpose Mapping</t>
  </si>
  <si>
    <t>B1.6</t>
  </si>
  <si>
    <t>Any new processing purpose requires reassessment and potentially fresh consent/notice.</t>
  </si>
  <si>
    <t>New Purpose Impact Assessment</t>
  </si>
  <si>
    <t>B1.7</t>
  </si>
  <si>
    <t>Where multiple purposes exist, DF must separate each purpose in the consent/notice format.</t>
  </si>
  <si>
    <t>Rule 4 requires multi-purpose transparency.</t>
  </si>
  <si>
    <t>Multi-purpose Segregation Control</t>
  </si>
  <si>
    <t>B1.8</t>
  </si>
  <si>
    <t>DF must maintain internal purpose registry aligning each processing operation.</t>
  </si>
  <si>
    <t>Purpose Registry Maintenance</t>
  </si>
  <si>
    <t>B1.9</t>
  </si>
  <si>
    <t>Rule 5 (State)</t>
  </si>
  <si>
    <t>When DF acts as an instrumentality of State, purpose must align with notified State functions.</t>
  </si>
  <si>
    <t>Rule 5 defines State processing standards.</t>
  </si>
  <si>
    <t>State-purpose Alignment Check</t>
  </si>
  <si>
    <t>DF (State entities)</t>
  </si>
  <si>
    <t>B1.10</t>
  </si>
  <si>
    <t>Notice must always reveal the lawful purpose regardless of the basis (consent or Sec 7).</t>
  </si>
  <si>
    <t>Rule enforces full transparency.</t>
  </si>
  <si>
    <t>Lawful Purpose Transparency</t>
  </si>
  <si>
    <t>B1.11</t>
  </si>
  <si>
    <t>Before using data for decisions affecting DP, DF must ensure purpose-consistency.</t>
  </si>
  <si>
    <t>Purpose Consistency Verification</t>
  </si>
  <si>
    <t>B1.12</t>
  </si>
  <si>
    <t>Before disclosing data to another DF, ensure the purpose aligns with DP-given scope.</t>
  </si>
  <si>
    <t>Purpose Alignment Before Disclosure</t>
  </si>
  <si>
    <t>B1.13</t>
  </si>
  <si>
    <t>Purpose must not conflict with other Indian laws (tax, telecom, health, financial).</t>
  </si>
  <si>
    <t>Cross-law Purpose Compliance Check</t>
  </si>
  <si>
    <t>B1.14</t>
  </si>
  <si>
    <t>Sec 4</t>
  </si>
  <si>
    <t>When processing is mixed (consent + legitimate uses), each lawful basis must be tagged.</t>
  </si>
  <si>
    <t>Mixed-purpose Tagging</t>
  </si>
  <si>
    <t>B1.15</t>
  </si>
  <si>
    <t>DF must document rationale for lawful purpose if challenged by Board.</t>
  </si>
  <si>
    <t>Lawful Purpose Justification Notes</t>
  </si>
  <si>
    <t>B1.16</t>
  </si>
  <si>
    <t>Notice must not use broad, vague, catch-all purposes (e.g., “improving services”).</t>
  </si>
  <si>
    <t>Rule requires specific and clear purpose.</t>
  </si>
  <si>
    <t>Anti-Vague Purpose Control</t>
  </si>
  <si>
    <t>B1.17</t>
  </si>
  <si>
    <t>Purpose must be established before collection begins, not retrofitted later.</t>
  </si>
  <si>
    <t>Pre-collection Purpose Fixing</t>
  </si>
  <si>
    <t>B1.18</t>
  </si>
  <si>
    <t>Rule 5</t>
  </si>
  <si>
    <t>Where lawful basis is State benefit/service, purpose must be a “notified purpose” under Second Schedule.</t>
  </si>
  <si>
    <t>Rule 5 + Second Schedule list purposes.</t>
  </si>
  <si>
    <t>Government Notified Purpose Mapping</t>
  </si>
  <si>
    <t>State DF only</t>
  </si>
  <si>
    <t>B1.19</t>
  </si>
  <si>
    <t>If purpose becomes unlawful due to legal change, processing must be stopped.</t>
  </si>
  <si>
    <t>Purpose Sunset Compliance</t>
  </si>
  <si>
    <t>B1.20</t>
  </si>
  <si>
    <t>Sec 4 + 7</t>
  </si>
  <si>
    <t>DF must map each purpose to one of: consent, legitimate use, State function, emergency, employment, etc.</t>
  </si>
  <si>
    <t>Rule 4 links notice disclosures to basis.</t>
  </si>
  <si>
    <t>Purpose-to-Basis Mapping</t>
  </si>
  <si>
    <t>Sr. No. (B2.1 — Sec 7(a): Voluntary Data Supply)</t>
  </si>
  <si>
    <t>B2.1.1</t>
  </si>
  <si>
    <t>DP voluntarily provides data for a specific purpose; DF may process unless DP objects.</t>
  </si>
  <si>
    <t>Rule requires notice even for voluntary data.</t>
  </si>
  <si>
    <t>Voluntary Data Processing Enablement</t>
  </si>
  <si>
    <t>B2.1.2</t>
  </si>
  <si>
    <t>DF must stop processing if DP indicates objection after providing data.</t>
  </si>
  <si>
    <t>Voluntary Data Opt-out Control</t>
  </si>
  <si>
    <t>B2.1.3</t>
  </si>
  <si>
    <t>DF must still provide notice (data categories, purpose, rights).</t>
  </si>
  <si>
    <t>Rule 4 enforces mandatory notice components.</t>
  </si>
  <si>
    <t>Notice for Voluntary Data</t>
  </si>
  <si>
    <t>B2.1.4</t>
  </si>
  <si>
    <t>Voluntary data use cannot exceed the stated purpose.</t>
  </si>
  <si>
    <t>Purpose Limitation for Voluntary Data</t>
  </si>
  <si>
    <t>B2.1.5</t>
  </si>
  <si>
    <t>Even though consent isn’t required, transparency obligations remain identical.</t>
  </si>
  <si>
    <t>Rule supports identical notice requirements.</t>
  </si>
  <si>
    <t>Transparency Enforcement</t>
  </si>
  <si>
    <t>B2.1.6</t>
  </si>
  <si>
    <t>DF must ensure accuracy when voluntary data affects decisions about the DP.</t>
  </si>
  <si>
    <t>Voluntary Data Accuracy Check</t>
  </si>
  <si>
    <t>B2.1.7</t>
  </si>
  <si>
    <t>Processing voluntary data does not permit covert data collection.</t>
  </si>
  <si>
    <t>No Covert Collection Control</t>
  </si>
  <si>
    <t>Sr. No. (B2.2 — Sec 7(b): State Subsidies / Benefits / Services)</t>
  </si>
  <si>
    <t>B2.2.1</t>
  </si>
  <si>
    <t>Sec 7(b)(i)</t>
  </si>
  <si>
    <t>State may process personal data to provide prescribed subsidy/benefit/service where DP previously consented.</t>
  </si>
  <si>
    <t>Rule 5 + Second Schedule list allowed government purposes.</t>
  </si>
  <si>
    <t>Government Service Eligibility Processing</t>
  </si>
  <si>
    <t>State DF</t>
  </si>
  <si>
    <t>B2.2.2</t>
  </si>
  <si>
    <t>Sec 7(b)(ii)</t>
  </si>
  <si>
    <t>State may process data available in government registers/databases for notified purposes.</t>
  </si>
  <si>
    <t>Rule 5 defines data access standards.</t>
  </si>
  <si>
    <t>Processing Using Government Databases</t>
  </si>
  <si>
    <t>B2.2.3</t>
  </si>
  <si>
    <t>Sec 7(b)</t>
  </si>
  <si>
    <t>Second Schedule</t>
  </si>
  <si>
    <t>Only those purposes notified in the Second Schedule are allowed.</t>
  </si>
  <si>
    <t>Second Schedule enumerates valid purposes.</t>
  </si>
  <si>
    <t>Notified Purpose Verification</t>
  </si>
  <si>
    <t>B2.2.4</t>
  </si>
  <si>
    <t>Standards for processing must follow policy/law for personal data governance.</t>
  </si>
  <si>
    <t>Rule sets conditions for lawful State processing.</t>
  </si>
  <si>
    <t>Government Data Governance Compliance</t>
  </si>
  <si>
    <t>B2.2.5</t>
  </si>
  <si>
    <t>DP does not need to provide fresh consent for each benefit.</t>
  </si>
  <si>
    <t>Consent Reuse Policy Control</t>
  </si>
  <si>
    <t>B2.2.6</t>
  </si>
  <si>
    <t>Processing must be restricted to purpose of subsidy/service delivery.</t>
  </si>
  <si>
    <t>Purpose Limitation for State Benefits</t>
  </si>
  <si>
    <t>B2.2.7</t>
  </si>
  <si>
    <t>Access to available databases must be lawful, logged, and authorised.</t>
  </si>
  <si>
    <t>Rule 5 implies authorisation controls.</t>
  </si>
  <si>
    <t>Data Access Logging for State Use</t>
  </si>
  <si>
    <t>Sr. No. (B2.3 — Sec 7(c): State Functions / Sovereignty / Integrity)</t>
  </si>
  <si>
    <t>B2.3.1</t>
  </si>
  <si>
    <t>Sec 7(c)</t>
  </si>
  <si>
    <t>State may process data for functions under Indian law or for sovereignty, integrity, or security.</t>
  </si>
  <si>
    <t>Rule 5 governs State processing standards.</t>
  </si>
  <si>
    <t>State Function Processing Control</t>
  </si>
  <si>
    <t>B2.3.2</t>
  </si>
  <si>
    <t>Processing must be linked to a legally defined “function of the State”.</t>
  </si>
  <si>
    <t>State Function Legitimacy Check</t>
  </si>
  <si>
    <t>B2.3.3</t>
  </si>
  <si>
    <t>DF must ensure processing is necessary and proportionate to the State function.</t>
  </si>
  <si>
    <t>Necessity &amp; Proportionality Evaluation</t>
  </si>
  <si>
    <t>B2.3.4</t>
  </si>
  <si>
    <t>Where instrumentalities process data, they must operate under government policy for data governance.</t>
  </si>
  <si>
    <t>Rule 5 sets governance conditions.</t>
  </si>
  <si>
    <t>Instrumentality Data Governance Compliance</t>
  </si>
  <si>
    <t>State + Government Agencies</t>
  </si>
  <si>
    <t>B2.3.5</t>
  </si>
  <si>
    <t>Purpose must match those allowed under Second Schedule.</t>
  </si>
  <si>
    <t>Second Schedule governs scope.</t>
  </si>
  <si>
    <t>Second Schedule Purpose Alignment</t>
  </si>
  <si>
    <t>B2.3.6</t>
  </si>
  <si>
    <t>Processing under this clause must not expand into unrelated functions.</t>
  </si>
  <si>
    <t>Purpose Containment Control</t>
  </si>
  <si>
    <t>Sr. No. (B2.4 — Sec 7(d): Compliance with Legal Obligations to State)</t>
  </si>
  <si>
    <t>B2.4.1</t>
  </si>
  <si>
    <t>Sec 7(d)</t>
  </si>
  <si>
    <t>DF may process to disclose information required by law to State or its bodies.</t>
  </si>
  <si>
    <t>Rule 5 governs lawful disclosures.</t>
  </si>
  <si>
    <t>Statutory Data Disclosure Control</t>
  </si>
  <si>
    <t>B2.4.2</t>
  </si>
  <si>
    <t>Disclosure must be necessary to fulfil the legal obligation.</t>
  </si>
  <si>
    <t>Necessity Verification for Legal Disclosure</t>
  </si>
  <si>
    <t>B2.4.3</t>
  </si>
  <si>
    <t>DF must document legal basis (statute, order, rule) for each disclosure.</t>
  </si>
  <si>
    <t>Disclosure Legal Basis Documentation</t>
  </si>
  <si>
    <t>B2.4.4</t>
  </si>
  <si>
    <t>Disclosure must comply with all procedural safeguards in the parent law.</t>
  </si>
  <si>
    <t>Rule 5 requires adherence to governing law.</t>
  </si>
  <si>
    <t>Cross-law Compliance Check</t>
  </si>
  <si>
    <t>B2.4.5</t>
  </si>
  <si>
    <t>DP notice or consent is not required for legally mandated disclosure.</t>
  </si>
  <si>
    <t>Disclosure Without Consent Handling</t>
  </si>
  <si>
    <t>B2.4.6</t>
  </si>
  <si>
    <t>Logs of disclosures to State must be maintained.</t>
  </si>
  <si>
    <t>Rule implies authorisation + audit controls.</t>
  </si>
  <si>
    <t>Disclosure Logging</t>
  </si>
  <si>
    <t>B2.4.7</t>
  </si>
  <si>
    <t>Only data specifically required by law may be disclosed.</t>
  </si>
  <si>
    <t>Minimum Disclosure Control</t>
  </si>
  <si>
    <t>Sr. No. (B2.5 — Sec 7(e): Judicial / Administrative Orders)</t>
  </si>
  <si>
    <t>B2.5.1</t>
  </si>
  <si>
    <t>Sec 7(e)</t>
  </si>
  <si>
    <t>DF may process data to comply with judgments, decrees, or orders under Indian law.</t>
  </si>
  <si>
    <t>Judicial Order Processing Control</t>
  </si>
  <si>
    <t>B2.5.2</t>
  </si>
  <si>
    <t>DF may process to comply with foreign civil or contractual claims.</t>
  </si>
  <si>
    <t>Foreign Order Assessment</t>
  </si>
  <si>
    <t>B2.5.3</t>
  </si>
  <si>
    <t>DF must verify authenticity and enforceability of orders.</t>
  </si>
  <si>
    <t>Order Authenticity Verification</t>
  </si>
  <si>
    <t>B2.5.4</t>
  </si>
  <si>
    <t>Processing must be limited to information required for compliance with the order.</t>
  </si>
  <si>
    <t>Minimum Data for Order Compliance</t>
  </si>
  <si>
    <t>B2.5.5</t>
  </si>
  <si>
    <t>DF must log all data disclosures made pursuant to orders.</t>
  </si>
  <si>
    <t>Court Order Disclosure Log</t>
  </si>
  <si>
    <t>Sr. No. (B2.6 — Sec 7(f): Medical Emergency Grounds)</t>
  </si>
  <si>
    <t>B2.6.1</t>
  </si>
  <si>
    <t>Sec 7(f)</t>
  </si>
  <si>
    <t>DF may process personal data where medical emergency threatens life/health.</t>
  </si>
  <si>
    <t>Emergency Medical Data Processing</t>
  </si>
  <si>
    <t>B2.6.2</t>
  </si>
  <si>
    <t>DF must limit processing strictly to emergency needs.</t>
  </si>
  <si>
    <t>Emergency Data Minimisation</t>
  </si>
  <si>
    <t>B2.6.3</t>
  </si>
  <si>
    <t>DP consent is not required during the emergency.</t>
  </si>
  <si>
    <t>Non-consensual Emergency Processing</t>
  </si>
  <si>
    <t>B2.6.4</t>
  </si>
  <si>
    <t>Emergency-related decisions must still be based on accurate data.</t>
  </si>
  <si>
    <t>Emergency Data Accuracy Check</t>
  </si>
  <si>
    <t>B2.6.5</t>
  </si>
  <si>
    <t>Processing must stop once emergency ceases.</t>
  </si>
  <si>
    <t>Emergency Closure Control</t>
  </si>
  <si>
    <t>Sr. No. (B2.7 — Sec 7(g): Epidemic / Public Health Threats)</t>
  </si>
  <si>
    <t>B2.7.1</t>
  </si>
  <si>
    <t>Sec 7(g)</t>
  </si>
  <si>
    <t>DF may process for providing medical treatment or health services during epidemics/outbreaks.</t>
  </si>
  <si>
    <t>Outbreak-related Data Processing</t>
  </si>
  <si>
    <t>B2.7.2</t>
  </si>
  <si>
    <t>Processing must serve public health intervention needs.</t>
  </si>
  <si>
    <t>Public Health Necessity Check</t>
  </si>
  <si>
    <t>B2.7.3</t>
  </si>
  <si>
    <t>Data minimisation must be enforced in outbreak scenarios.</t>
  </si>
  <si>
    <t>Outbreak Minimisation Control</t>
  </si>
  <si>
    <t>B2.7.4</t>
  </si>
  <si>
    <t>DP consent not required due to overriding public health grounds.</t>
  </si>
  <si>
    <t>Non-consensual Public Health Processing</t>
  </si>
  <si>
    <t>Sr. No. (B2.8 — Sec 7(h): Disaster / Public Order Grounds)</t>
  </si>
  <si>
    <t>B2.8.1</t>
  </si>
  <si>
    <t>Sec 7(h)</t>
  </si>
  <si>
    <t>DF may process data to ensure safety, provide assistance, or services during disasters.</t>
  </si>
  <si>
    <t>Disaster Assistance Processing</t>
  </si>
  <si>
    <t>B2.8.2</t>
  </si>
  <si>
    <t>Disaster includes as defined in the Disaster Management Act.</t>
  </si>
  <si>
    <t>Legal Definition Alignment</t>
  </si>
  <si>
    <t>B2.8.3</t>
  </si>
  <si>
    <t>Data processing must be strictly tied to disaster-response purposes.</t>
  </si>
  <si>
    <t>Disaster Purpose Limitation</t>
  </si>
  <si>
    <t>B2.8.4</t>
  </si>
  <si>
    <t>DP consent not needed during disaster response.</t>
  </si>
  <si>
    <t>Non-consensual Disaster Processing</t>
  </si>
  <si>
    <t>Sr. No. (B2.9 — Sec 7(i): Employment-related Purposes)</t>
  </si>
  <si>
    <t>B2.9.1</t>
  </si>
  <si>
    <t>Sec 7(i)</t>
  </si>
  <si>
    <t>DF may process data for employment, safety, loss/liability protection.</t>
  </si>
  <si>
    <t>Employment Data Processing Control</t>
  </si>
  <si>
    <t>Employer DF</t>
  </si>
  <si>
    <t>B2.9.2</t>
  </si>
  <si>
    <t>Includes preventing corporate espionage, protecting IP/trade secrets.</t>
  </si>
  <si>
    <t>Workplace Security Processing</t>
  </si>
  <si>
    <t>B2.9.3</t>
  </si>
  <si>
    <t>Processing allowed for performance of service/benefit requested by employee.</t>
  </si>
  <si>
    <t>Employee-benefit Processing</t>
  </si>
  <si>
    <t>B2.9.4</t>
  </si>
  <si>
    <t>Purpose must relate to employer legitimate interests, not general monitoring.</t>
  </si>
  <si>
    <t>Legitimate Employment Interest Check</t>
  </si>
  <si>
    <t>B2.9.5</t>
  </si>
  <si>
    <t>Processing must not infringe fundamental rights of employee.</t>
  </si>
  <si>
    <t>Employee Rights Impact Assessment</t>
  </si>
  <si>
    <t>Sr. No. (B3 — Legal Obligations to Disclose to State)</t>
  </si>
  <si>
    <t>B3.1</t>
  </si>
  <si>
    <t>DF may process personal data for fulfilling any legal obligation to disclose information to the State.</t>
  </si>
  <si>
    <t>Statutory Disclosure Enablement</t>
  </si>
  <si>
    <t>B3.2</t>
  </si>
  <si>
    <t>Disclosure must follow the exact procedure prescribed under the parent statute requiring disclosure.</t>
  </si>
  <si>
    <t>Rule 5 mandates governance alignment with authorising law.</t>
  </si>
  <si>
    <t>Cross-Statute Compliance Alignment</t>
  </si>
  <si>
    <t>B3.3</t>
  </si>
  <si>
    <t>DF must verify the disclosure demand arises from a valid law, rule, or regulation.</t>
  </si>
  <si>
    <t>Legal Basis Verification</t>
  </si>
  <si>
    <t>B3.4</t>
  </si>
  <si>
    <t>Disclosure can only cover data categories that are necessary to fulfil the legal obligation.</t>
  </si>
  <si>
    <t>Minimum Necessary Data Disclosure</t>
  </si>
  <si>
    <t>B3.5</t>
  </si>
  <si>
    <t>Consent or DP notice is not required for legally mandated disclosures.</t>
  </si>
  <si>
    <t>Non-consensual Statutory Disclosure Handling</t>
  </si>
  <si>
    <t>B3.6</t>
  </si>
  <si>
    <t>DF must maintain a record of each disclosure made to the State.</t>
  </si>
  <si>
    <t>Rule implies authorisation and audit controls.</t>
  </si>
  <si>
    <t>State Disclosure Logging</t>
  </si>
  <si>
    <t>B3.7</t>
  </si>
  <si>
    <t>DF must ensure disclosure is authorised by designated personnel only.</t>
  </si>
  <si>
    <t>Rule 5 expects controlled and governed access.</t>
  </si>
  <si>
    <t>Authorised Disclosure Workflow</t>
  </si>
  <si>
    <t>B3.8</t>
  </si>
  <si>
    <t>If disclosure relates to Second Schedule purposes, DF must ensure it fits those notified categories.</t>
  </si>
  <si>
    <t>Second Schedule lists government-permissible purposes.</t>
  </si>
  <si>
    <t>Second Schedule Purpose Validation</t>
  </si>
  <si>
    <t>B3.9</t>
  </si>
  <si>
    <t>When acting as a government instrumentality, DF must follow government data-governance policies.</t>
  </si>
  <si>
    <t>Rule 5 binds instrumentalities to governance standards.</t>
  </si>
  <si>
    <t>Government Instrumentality Compliance</t>
  </si>
  <si>
    <t>State DF / Govt agencies</t>
  </si>
  <si>
    <t>B3.10</t>
  </si>
  <si>
    <t>DF must document internal rationale for the disclosure.</t>
  </si>
  <si>
    <t>Disclosure Decision Documentation</t>
  </si>
  <si>
    <t>B3.11</t>
  </si>
  <si>
    <t>DF must validate identity and authority of the State requester.</t>
  </si>
  <si>
    <t>Requester Identity &amp; Authority Check</t>
  </si>
  <si>
    <t>B3.12</t>
  </si>
  <si>
    <t>DF must assess proportionality: amount of data vs. actual legal need.</t>
  </si>
  <si>
    <t>Proportionality Assessment</t>
  </si>
  <si>
    <t>B3.13</t>
  </si>
  <si>
    <t>DF must ensure that disclosure does not breach any other law (banking secrecy, telecom laws, sector regulators).</t>
  </si>
  <si>
    <t>Rule 5 enforces alignment with authorising law.</t>
  </si>
  <si>
    <t>Sector-law Compliance Check</t>
  </si>
  <si>
    <t>B3.14</t>
  </si>
  <si>
    <t>Where disclosure is for subsidy/benefit verification, purpose must match Second Schedule list.</t>
  </si>
  <si>
    <t>Covers services, subsidies, certificates, benefits.</t>
  </si>
  <si>
    <t>Government Benefit Verification Check</t>
  </si>
  <si>
    <t>B3.15</t>
  </si>
  <si>
    <t>DF must disclose data only via secure, authenticated channels.</t>
  </si>
  <si>
    <t>Secure Disclosure Transmission</t>
  </si>
  <si>
    <t>B3.16</t>
  </si>
  <si>
    <t>DF must retain logs of disclosures for audit/regulator inquiries.</t>
  </si>
  <si>
    <t>Disclosure Log Retention</t>
  </si>
  <si>
    <t>B3.17</t>
  </si>
  <si>
    <t>DF must immediately stop disclosure if the legal basis ceases (e.g., law repealed, order withdrawn).</t>
  </si>
  <si>
    <t>Governance duty to follow active legal basis.</t>
  </si>
  <si>
    <t>Legal Basis Sunset Monitoring</t>
  </si>
  <si>
    <t>B3.18</t>
  </si>
  <si>
    <t>DF must separate data disclosed under legal obligation from data shared voluntarily.</t>
  </si>
  <si>
    <t>Segregated Disclosure Logging</t>
  </si>
  <si>
    <t>B3.19</t>
  </si>
  <si>
    <t>Where the State requests bulk datasets, DF must ensure request aligns with lawful purpose + Schedule.</t>
  </si>
  <si>
    <t>Rule 5 and Schedule restrict government purposes.</t>
  </si>
  <si>
    <t>Bulk Data State Request Validation</t>
  </si>
  <si>
    <t>B3.20</t>
  </si>
  <si>
    <t>DF must not disclose more data than legally required (strict minimisation).</t>
  </si>
  <si>
    <t>Excessive Disclosure Prevention</t>
  </si>
  <si>
    <t>B3.21</t>
  </si>
  <si>
    <t>Government-level requests must be processed using official, documented channels.</t>
  </si>
  <si>
    <t>Rule 5: governance and policy alignment.</t>
  </si>
  <si>
    <t>Official Channel Disclosure Enforcement</t>
  </si>
  <si>
    <t>B3.22</t>
  </si>
  <si>
    <t>DF must ensure no commercial use of data disclosed to State.</t>
  </si>
  <si>
    <t>Disclosure Purpose Restriction Enforcement</t>
  </si>
  <si>
    <t>B3.23</t>
  </si>
  <si>
    <t>DF must ensure internal staff who process disclosure requests are trained in data-governance obligations.</t>
  </si>
  <si>
    <t>Rule 5: competence expectations.</t>
  </si>
  <si>
    <t>State Disclosure Staff Training</t>
  </si>
  <si>
    <t>B3.24</t>
  </si>
  <si>
    <t>DF must classify each request as: statutory, regulatory, judicial, or administrative.</t>
  </si>
  <si>
    <t>Disclosure Request Classification</t>
  </si>
  <si>
    <t>B3.25</t>
  </si>
  <si>
    <t>Any onward sharing by State must align with the notified purpose; DF must log transfer.</t>
  </si>
  <si>
    <t>Rule 5 + Second Schedule mandate legitimate State purposes.</t>
  </si>
  <si>
    <t>State Onward Transfer Logging</t>
  </si>
  <si>
    <t>Sr. No. (B4.1 — Sec 7(f): Medical Emergency Grounds)</t>
  </si>
  <si>
    <t>B4.1.1</t>
  </si>
  <si>
    <t>DF may process personal data when a medical emergency threatens the life or immediate health of DP or another person.</t>
  </si>
  <si>
    <t>Emergency Medical Processing Enablement</t>
  </si>
  <si>
    <t>B4.1.2</t>
  </si>
  <si>
    <t>Consent is not required during a medical emergency.</t>
  </si>
  <si>
    <t>Emergency Non-consensual Processing</t>
  </si>
  <si>
    <t>B4.1.3</t>
  </si>
  <si>
    <t>Processing must be strictly limited to the extent necessary to address the emergency.</t>
  </si>
  <si>
    <t>B4.1.4</t>
  </si>
  <si>
    <t>DF must ensure accuracy of information used to make emergency decisions.</t>
  </si>
  <si>
    <t>B4.1.5</t>
  </si>
  <si>
    <t>Processing must stop immediately after the emergency situation is resolved.</t>
  </si>
  <si>
    <t>Emergency Closure &amp; Processing Termination</t>
  </si>
  <si>
    <t>B4.1.6</t>
  </si>
  <si>
    <t>Emergency actions must be logged for audit or regulatory review.</t>
  </si>
  <si>
    <t>Emergency Processing Log Maintenance</t>
  </si>
  <si>
    <t>B4.1.7</t>
  </si>
  <si>
    <t>Onward disclosure during emergency must be limited to emergency responders/medical personnel.</t>
  </si>
  <si>
    <t>Emergency Onward Disclosure Control</t>
  </si>
  <si>
    <t>B4.1.8</t>
  </si>
  <si>
    <t>DF must prevent secondary use of emergency-collected data.</t>
  </si>
  <si>
    <t>Prohibition of Secondary Use Post-Emergency</t>
  </si>
  <si>
    <t>Sr. No. (B4.2 — Sec 7(g): Public Health / Epidemic Grounds)</t>
  </si>
  <si>
    <t>B4.2.1</t>
  </si>
  <si>
    <t>DF may process data to provide medical treatment or health services during an epidemic, outbreak, or threat.</t>
  </si>
  <si>
    <t>Epidemic-related Processing Enablement</t>
  </si>
  <si>
    <t>B4.2.2</t>
  </si>
  <si>
    <t>Consent is not required due to overriding public health considerations.</t>
  </si>
  <si>
    <t>B4.2.3</t>
  </si>
  <si>
    <t>Processing must directly relate to public health intervention or containment efforts.</t>
  </si>
  <si>
    <t>Public Health Purpose Verification</t>
  </si>
  <si>
    <t>B4.2.4</t>
  </si>
  <si>
    <t>Data minimisation applies strictly to avoid unnecessary exposure.</t>
  </si>
  <si>
    <t>Epidemic Data Minimisation</t>
  </si>
  <si>
    <t>B4.2.5</t>
  </si>
  <si>
    <t>DF must ensure accuracy of medical/public health data used for interventions.</t>
  </si>
  <si>
    <t>Outbreak Data Accuracy Check</t>
  </si>
  <si>
    <t>B4.2.6</t>
  </si>
  <si>
    <t>Once the public health threat ends, processing must stop or be restricted to retention obligations.</t>
  </si>
  <si>
    <t>Outbreak Processing Closure</t>
  </si>
  <si>
    <t>B4.2.7</t>
  </si>
  <si>
    <t>DF must prevent onward sharing unless it is part of authorised public health operations.</t>
  </si>
  <si>
    <t>Outbreak Onward Sharing Control</t>
  </si>
  <si>
    <t>B4.2.8</t>
  </si>
  <si>
    <t>Logs must be maintained for all outbreak-related processing for audit and accountability.</t>
  </si>
  <si>
    <t>Outbreak Processing Log Maintenance</t>
  </si>
  <si>
    <t>Sr. No. (B4.3 — Sec 7(h): Disaster / Public Order Grounds)</t>
  </si>
  <si>
    <t>B4.3.1</t>
  </si>
  <si>
    <t>DF may process personal data for safety, assistance, or essential service delivery during a disaster or breakdown of public order.</t>
  </si>
  <si>
    <t>Disaster-response Data Processing</t>
  </si>
  <si>
    <t>B4.3.2</t>
  </si>
  <si>
    <t>Consent is not required due to the exigent nature of the situation.</t>
  </si>
  <si>
    <t>B4.3.3</t>
  </si>
  <si>
    <t>Disaster includes situations defined under Disaster Management Act, 2005.</t>
  </si>
  <si>
    <t>Legal Disaster Definition Alignment</t>
  </si>
  <si>
    <t>B4.3.4</t>
  </si>
  <si>
    <t>Processing must be directly tied to disaster management operations.</t>
  </si>
  <si>
    <t>Disaster Purpose Verification</t>
  </si>
  <si>
    <t>B4.3.5</t>
  </si>
  <si>
    <t>Data must be minimised and limited to what is required for the disaster-response.</t>
  </si>
  <si>
    <t>Disaster Data Minimisation</t>
  </si>
  <si>
    <t>B4.3.6</t>
  </si>
  <si>
    <t>Once the disaster is over, DF must stop or scale back processing.</t>
  </si>
  <si>
    <t>Disaster Processing Closure</t>
  </si>
  <si>
    <t>B4.3.7</t>
  </si>
  <si>
    <t>Onward disclosures must be restricted to authorised disaster-response or government agencies.</t>
  </si>
  <si>
    <t>Disaster Onward Disclosure Governance</t>
  </si>
  <si>
    <t>B4.3.8</t>
  </si>
  <si>
    <t>All data-processing activities during a disaster must be logged.</t>
  </si>
  <si>
    <t>Disaster Processing Logging</t>
  </si>
  <si>
    <t>Sr. No. (B5.1 — Employment Operations: Sec 7(i))</t>
  </si>
  <si>
    <t>B5.1.1</t>
  </si>
  <si>
    <t>DF may process personal data as reasonably necessary for recruitment, hiring, onboarding, payroll, HR operations.</t>
  </si>
  <si>
    <t>Core HR Data Processing</t>
  </si>
  <si>
    <t>B5.1.2</t>
  </si>
  <si>
    <t>Consent is not required when processing is necessary for employment functions.</t>
  </si>
  <si>
    <t>Non-consensual HR Processing</t>
  </si>
  <si>
    <t>B5.1.3</t>
  </si>
  <si>
    <t>DF must ensure data processed is relevant to employment and not excessive.</t>
  </si>
  <si>
    <t>HR Data Minimisation</t>
  </si>
  <si>
    <t>B5.1.4</t>
  </si>
  <si>
    <t>Processing must respect the employee’s fundamental rights and expectations.</t>
  </si>
  <si>
    <t>Employee Rights Respect Control</t>
  </si>
  <si>
    <t>B5.1.5</t>
  </si>
  <si>
    <t>Employment decisions must be based on accurate and up-to-date personal data.</t>
  </si>
  <si>
    <t>HR Data Accuracy Check</t>
  </si>
  <si>
    <t>B5.1.6</t>
  </si>
  <si>
    <t>Processing for performance evaluation must be purpose-specific and documented.</t>
  </si>
  <si>
    <t>Performance Evaluation Data Governance</t>
  </si>
  <si>
    <t>B5.1.7</t>
  </si>
  <si>
    <t>Employment records must be segregated from non-employment data categories.</t>
  </si>
  <si>
    <t>Employment Data Classification</t>
  </si>
  <si>
    <t>Sr. No. (B5.2 — Workplace Security &amp; IP Protection: Sec 7(i))</t>
  </si>
  <si>
    <t>B5.2.1</t>
  </si>
  <si>
    <t>DF may process data to prevent corporate espionage, protect trade secrets, safeguard IT infrastructure.</t>
  </si>
  <si>
    <t>B5.2.2</t>
  </si>
  <si>
    <t>Monitoring must be proportionate and tied to specific security objectives.</t>
  </si>
  <si>
    <t>Proportionate Monitoring Control</t>
  </si>
  <si>
    <t>B5.2.3</t>
  </si>
  <si>
    <t>DF must avoid unnecessary or continuous surveillance unless justified.</t>
  </si>
  <si>
    <t>Continuous Surveillance Restriction</t>
  </si>
  <si>
    <t>B5.2.4</t>
  </si>
  <si>
    <t>Access logs, system logs, and audit trails must be collected only as needed for security.</t>
  </si>
  <si>
    <t>Security Log Minimisation</t>
  </si>
  <si>
    <t>B5.2.5</t>
  </si>
  <si>
    <t>Any employee-monitoring measure must be documented, approved, and risk-assessed.</t>
  </si>
  <si>
    <t>Monitoring Activity Approval Workflow</t>
  </si>
  <si>
    <t>B5.2.6</t>
  </si>
  <si>
    <t>Monitoring outcomes must not be used for unrelated purposes (e.g., profiling).</t>
  </si>
  <si>
    <t>Secondary Use Prevention</t>
  </si>
  <si>
    <t>B5.2.7</t>
  </si>
  <si>
    <t>Workplace CCTV, access-control logs must be aligned to lawful purpose, not general surveillance.</t>
  </si>
  <si>
    <t>CCTV/IP Data Use Limitation</t>
  </si>
  <si>
    <t>Sr. No. (B5.3 — Loss, Liability &amp; Risk Prevention: Sec 7(i))</t>
  </si>
  <si>
    <t>B5.3.1</t>
  </si>
  <si>
    <t>DF may process employee data to prevent financial loss, fraud, misconduct, or legal liability.</t>
  </si>
  <si>
    <t>Fraud &amp; Liability Prevention Processing</t>
  </si>
  <si>
    <t>B5.3.2</t>
  </si>
  <si>
    <t>Internal investigations may be conducted without employee consent if necessary and proportionate.</t>
  </si>
  <si>
    <t>Internal Investigation Data Handling</t>
  </si>
  <si>
    <t>B5.3.3</t>
  </si>
  <si>
    <t>DF must document basis for any compliance-risk-based processing.</t>
  </si>
  <si>
    <t>Compliance Risk Documentation</t>
  </si>
  <si>
    <t>B5.3.4</t>
  </si>
  <si>
    <t>Data processed for risk prevention must be minimal, relevant, and time-bound.</t>
  </si>
  <si>
    <t>Risk-related Data Minimisation</t>
  </si>
  <si>
    <t>B5.3.5</t>
  </si>
  <si>
    <t>Post-investigation, DF must restrict access, archive, or erase data where permissible.</t>
  </si>
  <si>
    <t>Post-Investigation Data Closure</t>
  </si>
  <si>
    <t>B5.3.6</t>
  </si>
  <si>
    <t>Decisions impacting employees (disciplinary, compliance actions) must use accurate, verified data.</t>
  </si>
  <si>
    <t>Accuracy For Compliance Decisions</t>
  </si>
  <si>
    <t>B5.3.7</t>
  </si>
  <si>
    <t>DF must implement access control for internal risk-related datasets.</t>
  </si>
  <si>
    <t>Restricted Access Enforcement</t>
  </si>
  <si>
    <t>Sr. No. (B5.4 — Employee Benefits &amp; Service Performance: Sec 7(i))</t>
  </si>
  <si>
    <t>B5.4.1</t>
  </si>
  <si>
    <t>DF may process employee data to provide requested benefits (insurance, PF, ESI, wellness services).</t>
  </si>
  <si>
    <t>Benefit Processing Enablement</t>
  </si>
  <si>
    <t>B5.4.2</t>
  </si>
  <si>
    <t>Benefit-linked data sharing with third parties must be purpose-limited.</t>
  </si>
  <si>
    <t>Third-party Benefit Data Sharing Control</t>
  </si>
  <si>
    <t>B5.4.3</t>
  </si>
  <si>
    <t>DF must ensure vendors handling employee benefits comply with DPDP obligations.</t>
  </si>
  <si>
    <t>Vendor Compliance Check</t>
  </si>
  <si>
    <t>B5.4.4</t>
  </si>
  <si>
    <t>Processing for performance of employment contract (tools, systems access) is allowed.</t>
  </si>
  <si>
    <t>Contractual Performance Processing</t>
  </si>
  <si>
    <t>B5.4.5</t>
  </si>
  <si>
    <t>Data used for employee assistance programs must be confidential and limited to service requirements.</t>
  </si>
  <si>
    <t>Confidential EAP Data Processing</t>
  </si>
  <si>
    <t>B5.4.6</t>
  </si>
  <si>
    <t>Benefit-related data cannot be repurposed for surveillance or HR profiling.</t>
  </si>
  <si>
    <t>Benefit Data Secondary Use Restriction</t>
  </si>
  <si>
    <t>B5.4.7</t>
  </si>
  <si>
    <t>Retention of benefit-related data must follow statutory timelines.</t>
  </si>
  <si>
    <t>Benefit Data Retention Control</t>
  </si>
  <si>
    <t>Sr. No. (B5.5 — Biometrics, Attendance &amp; Authentication: Sec 7(i))</t>
  </si>
  <si>
    <t>B5.5.1</t>
  </si>
  <si>
    <t>DF may process biometric data when necessary for employment (attendance, access control).</t>
  </si>
  <si>
    <t>Biometric Attendance Processing Enablement</t>
  </si>
  <si>
    <t>B5.5.2</t>
  </si>
  <si>
    <t>Biometric use must be necessary &amp; proportionate — no “default mandatory biometrics” policies.</t>
  </si>
  <si>
    <t>Biometrics Necessity &amp; Proportionality Test</t>
  </si>
  <si>
    <t>B5.5.3</t>
  </si>
  <si>
    <t>Biometric purpose must be lawful and not contrary to any other Indian statute (e.g., Aadhaar Act).</t>
  </si>
  <si>
    <t>Cross-law Biometric Compliance</t>
  </si>
  <si>
    <t>B5.5.4</t>
  </si>
  <si>
    <t>DF must explore reasonable alternatives for employees who cannot provide biometrics (PWD, medical conditions, religious objections).</t>
  </si>
  <si>
    <t>Alternate Attendance Option Control</t>
  </si>
  <si>
    <t>B5.5.5</t>
  </si>
  <si>
    <t>DF must ensure biometric data is accurate and not corrupted — avoid false positives/negatives.</t>
  </si>
  <si>
    <t>Biometric Data Accuracy Check</t>
  </si>
  <si>
    <t>B5.5.6</t>
  </si>
  <si>
    <t>Biometric data must not be used for productivity tracking, profiling, or behavioural assessment.</t>
  </si>
  <si>
    <t>Anti-profiling Control for Biometrics</t>
  </si>
  <si>
    <t>B5.5.7</t>
  </si>
  <si>
    <t>Biometric access logs must be retained only for required statutory or operational periods.</t>
  </si>
  <si>
    <t>Biometric Log Retention Governance</t>
  </si>
  <si>
    <t>B5.5.8</t>
  </si>
  <si>
    <t>DF must segregate biometric data from HR master data and apply higher security controls.</t>
  </si>
  <si>
    <t>Biometric Data Segregation</t>
  </si>
  <si>
    <t>B5.5.9</t>
  </si>
  <si>
    <t>Sec 8</t>
  </si>
  <si>
    <t>DF must implement “reasonable security safeguards” specifically for biometric templates/stored hashes.</t>
  </si>
  <si>
    <t>Rule 8 expects appropriate technical security controls.</t>
  </si>
  <si>
    <t>Biometric Security Safeguards</t>
  </si>
  <si>
    <t>B5.5.10</t>
  </si>
  <si>
    <t>Biometric devices &amp; software must prevent local storage of raw templates.</t>
  </si>
  <si>
    <t>Anti-local-storage Enforcement</t>
  </si>
  <si>
    <t>B5.5.11</t>
  </si>
  <si>
    <t>If biometric data is processed by a vendor, DF must enforce strict contractual obligations.</t>
  </si>
  <si>
    <t>Rule 8 links accuracy/erasure to processor actions.</t>
  </si>
  <si>
    <t>Biometric Processor Contract Control</t>
  </si>
  <si>
    <t>B5.5.12</t>
  </si>
  <si>
    <t>DF must ensure biometric time-stamps are tamper-proof and auditable.</t>
  </si>
  <si>
    <t>Biometric Timestamp Integrity</t>
  </si>
  <si>
    <t>B5.5.13</t>
  </si>
  <si>
    <t>Biometric access devices must authenticate users reliably — prevent spoofing/fraud.</t>
  </si>
  <si>
    <t>Anti-spoofing Controls</t>
  </si>
  <si>
    <t>B5.5.14</t>
  </si>
  <si>
    <t>DF must document internal justification for choosing biometrics over less intrusive methods.</t>
  </si>
  <si>
    <t>Biometric Use Justification Record</t>
  </si>
  <si>
    <t>B5.5.15</t>
  </si>
  <si>
    <t>Employees must be informed about the purpose, retention, and use of biometric data.</t>
  </si>
  <si>
    <t>Biometric Transparency Notice</t>
  </si>
  <si>
    <t>B5.5.16</t>
  </si>
  <si>
    <t>Biometric templates must be hashed/converted to irreversibly encoded formats.</t>
  </si>
  <si>
    <t>Template Hashing Control</t>
  </si>
  <si>
    <t>B5.5.17</t>
  </si>
  <si>
    <t>DF must enforce access controls: only authorised admins can view biometric access logs.</t>
  </si>
  <si>
    <t>Biometric Admin Access Control</t>
  </si>
  <si>
    <t>B5.5.18</t>
  </si>
  <si>
    <t>If device or database is compromised, DF must trigger breach management under Rule 9.</t>
  </si>
  <si>
    <t>Biometric Breach Handling Workflow</t>
  </si>
  <si>
    <t>B5.5.19</t>
  </si>
  <si>
    <t>Biometric attendance data must not be used for disciplinary action unless policy explicitly states so.</t>
  </si>
  <si>
    <t>Biometric Data Purpose Boundary</t>
  </si>
  <si>
    <t>B5.5.20</t>
  </si>
  <si>
    <t>If biometrics are used for secure area access, DF must log every authentication event.</t>
  </si>
  <si>
    <t>Secure Area Biometric Logging</t>
  </si>
  <si>
    <t>B5.5.21</t>
  </si>
  <si>
    <t>Biometric data must be erased when employment relationship ends unless retention legally required.</t>
  </si>
  <si>
    <t>Rule 8 defines erasure conditions.</t>
  </si>
  <si>
    <t>Offboarding Biometric Erasure</t>
  </si>
  <si>
    <t>B5.5.22</t>
  </si>
  <si>
    <t>Biometric devices integrated through APIs/SDKs must meet DPDP data flow, security &amp; log standards.</t>
  </si>
  <si>
    <t>API/SDK Biometric Integration Control</t>
  </si>
  <si>
    <t>B5.5.23</t>
  </si>
  <si>
    <t>DF must ensure no vendor/cloud service retains biometric templates post-contract.</t>
  </si>
  <si>
    <t>Vendor Biometric Data Deletion</t>
  </si>
  <si>
    <t>B5.5.24</t>
  </si>
  <si>
    <t>DF must maintain audit trails of all biometric firmware/software updates.</t>
  </si>
  <si>
    <t>Biometric System Audit Trail</t>
  </si>
  <si>
    <t>B5.5.25</t>
  </si>
  <si>
    <t>“Attendance + location tracking combos” must undergo necessity assessment.</t>
  </si>
  <si>
    <t>Geo-tagged Attendance Risk Check</t>
  </si>
  <si>
    <t>Sr. No. (B6.1 — Indian Judicial Orders: Sec 7(e))</t>
  </si>
  <si>
    <t>B6.1.1</t>
  </si>
  <si>
    <t>DF may process personal data to comply with judgments, decrees, directives issued under Indian law.</t>
  </si>
  <si>
    <t>Judicial Order Processing Enablement</t>
  </si>
  <si>
    <t>B6.1.2</t>
  </si>
  <si>
    <t>DF must verify that the order is from a competent court/authority.</t>
  </si>
  <si>
    <t>Order Authenticity &amp; Competence Verification</t>
  </si>
  <si>
    <t>B6.1.3</t>
  </si>
  <si>
    <t>Consent or notice to DP is not required when compliance is legally mandated.</t>
  </si>
  <si>
    <t>Non-consensual Judicial Processing</t>
  </si>
  <si>
    <t>B6.1.4</t>
  </si>
  <si>
    <t>Disclosure must be limited strictly to what the court order requires.</t>
  </si>
  <si>
    <t>Minimum Necessary Disclosure</t>
  </si>
  <si>
    <t>B6.1.5</t>
  </si>
  <si>
    <t>DF must document exact legal provision and case number for compliance records.</t>
  </si>
  <si>
    <t>Legal Order Documentation</t>
  </si>
  <si>
    <t>B6.1.6</t>
  </si>
  <si>
    <t>DF must designate authorised personnel to execute judicial data disclosures.</t>
  </si>
  <si>
    <t>Judicial Disclosure Authorisation Control</t>
  </si>
  <si>
    <t>B6.1.7</t>
  </si>
  <si>
    <t>Judicial disclosure logs must be maintained separately from routine disclosures.</t>
  </si>
  <si>
    <t>Judicial Disclosure Log Maintenance</t>
  </si>
  <si>
    <t>B6.1.8</t>
  </si>
  <si>
    <t>DF must ensure disclosures occur only over secure channels (encrypted, authenticated).</t>
  </si>
  <si>
    <t>Secure Transfer for Court-directed Disclosures</t>
  </si>
  <si>
    <t>B6.1.9</t>
  </si>
  <si>
    <t>DF must verify the identity of officers executing/receiving the order.</t>
  </si>
  <si>
    <t>Court Officer Identity Verification</t>
  </si>
  <si>
    <t>B6.1.10</t>
  </si>
  <si>
    <t>Any onward use by State agencies must be logged if DF is involved in transmission.</t>
  </si>
  <si>
    <t>Judicial Onward Transfer Tracking</t>
  </si>
  <si>
    <t>B6.1.11</t>
  </si>
  <si>
    <t>If the order expires or is stayed, DF must cease related processing immediately.</t>
  </si>
  <si>
    <t>Court Order Sunset/Stay Enforcement</t>
  </si>
  <si>
    <t>B6.1.12</t>
  </si>
  <si>
    <t>DF must preserve evidence of compliance for audit/regulator queries.</t>
  </si>
  <si>
    <t>Compliance Evidence Preservation</t>
  </si>
  <si>
    <t>Sr. No. (B6.2 — Foreign Judgments &amp; Claims: Sec 7(e))</t>
  </si>
  <si>
    <t>B6.2.1</t>
  </si>
  <si>
    <t>DF may process data to comply with foreign civil or contractual claims.</t>
  </si>
  <si>
    <t>Foreign Claim Processing Enablement</t>
  </si>
  <si>
    <t>B6.2.2</t>
  </si>
  <si>
    <t>DF must determine whether the foreign order is enforceable in India (CPC Sec 13/44A, etc.).</t>
  </si>
  <si>
    <t>Enforceability Assessment</t>
  </si>
  <si>
    <t>B6.2.3</t>
  </si>
  <si>
    <t>DF must ensure the foreign request aligns with Indian public policy and DPDP Act.</t>
  </si>
  <si>
    <t>Public Policy Compliance Check</t>
  </si>
  <si>
    <t>B6.2.4</t>
  </si>
  <si>
    <t>DF must verify the identity, capacity, and legal authority of the foreign requester.</t>
  </si>
  <si>
    <t>Foreign Entity Verification</t>
  </si>
  <si>
    <t>B6.2.5</t>
  </si>
  <si>
    <t>Only data necessary for the foreign legal claim may be shared.</t>
  </si>
  <si>
    <t>Minimum Necessary Cross-border Disclosure</t>
  </si>
  <si>
    <t>B6.2.6</t>
  </si>
  <si>
    <t>DF must apply same security safeguards as Indian judicial orders (encryption, authentication).</t>
  </si>
  <si>
    <t>Secure Cross-border Transfer Control</t>
  </si>
  <si>
    <t>B6.2.7</t>
  </si>
  <si>
    <t>DF must ensure no international transfer restriction applies (DPDP cross-border rules once notified).</t>
  </si>
  <si>
    <t>Cross-border Legality Check</t>
  </si>
  <si>
    <t>B6.2.8</t>
  </si>
  <si>
    <t>DF must maintain logs of all foreign legal disclosures for regulator scrutiny.</t>
  </si>
  <si>
    <t>Foreign Disclosure Logging</t>
  </si>
  <si>
    <t>B6.2.9</t>
  </si>
  <si>
    <t>DF must document internal rationale for accepting or rejecting the foreign demand.</t>
  </si>
  <si>
    <t>Foreign Disclosure Decision Record</t>
  </si>
  <si>
    <t>B6.2.10</t>
  </si>
  <si>
    <t>If a foreign order conflicts with Indian law, DF must escalate to legal counsel before acting.</t>
  </si>
  <si>
    <t>Conflict-of-law Escalation</t>
  </si>
  <si>
    <t>B6.2.11</t>
  </si>
  <si>
    <t>Data disclosed under foreign claims must not be repurposed for other requests.</t>
  </si>
  <si>
    <t>B6.2.12</t>
  </si>
  <si>
    <t>DF must consider whether to notify DP if foreign claim rules permit (not required under DPDP).</t>
  </si>
  <si>
    <t>Optional DP Notification Governance</t>
  </si>
  <si>
    <t>Sr. No. (B6.3 — Contractual / Arbitration Compliance: Sec 7(e))</t>
  </si>
  <si>
    <t>B6.3.1</t>
  </si>
  <si>
    <t>DF may process personal data required to fulfil contractual or arbitration obligations.</t>
  </si>
  <si>
    <t>Contractual Processing Enablement</t>
  </si>
  <si>
    <t>B6.3.2</t>
  </si>
  <si>
    <t>DF may process data for enforcing legal rights under a contract.</t>
  </si>
  <si>
    <t>Litigation/Claim Processing</t>
  </si>
  <si>
    <t>B6.3.3</t>
  </si>
  <si>
    <t>Only specific data required for contract performance may be processed.</t>
  </si>
  <si>
    <t>Contract-related Minimisation</t>
  </si>
  <si>
    <t>B6.3.4</t>
  </si>
  <si>
    <t>Contractual data processing must not override fundamental rights or employment protections.</t>
  </si>
  <si>
    <t>Contract vs Fundamental Rights Check</t>
  </si>
  <si>
    <t>B6.3.5</t>
  </si>
  <si>
    <t>If processing is required for breach-of-contract claims, DF must document legal necessity.</t>
  </si>
  <si>
    <t>Breach-of-Contract Processing Justification</t>
  </si>
  <si>
    <t>B6.3.6</t>
  </si>
  <si>
    <t>DF must ensure confidentiality of data used in arbitration or dispute resolution.</t>
  </si>
  <si>
    <t>Arbitration Confidentiality Control</t>
  </si>
  <si>
    <t>B6.3.7</t>
  </si>
  <si>
    <t>Third-party arbitrators or mediators must be bound by data protection obligations.</t>
  </si>
  <si>
    <t>Arbitrator Third-party Compliance Check</t>
  </si>
  <si>
    <t>B6.3.8</t>
  </si>
  <si>
    <t>Contractual lawful basis cannot be misused to process excessive data beyond contract scope.</t>
  </si>
  <si>
    <t>Contractual Overreach Prevention</t>
  </si>
  <si>
    <t>B6.3.9</t>
  </si>
  <si>
    <t>Records of contract-linked processing must be maintained for audit and dispute defense.</t>
  </si>
  <si>
    <t>Contractual Processing Audit Log Retention</t>
  </si>
  <si>
    <t>B6.3.10</t>
  </si>
  <si>
    <t>After contract termination, DF must erase or archive data per legal retention rules.</t>
  </si>
  <si>
    <t>Post-contract Data Closure</t>
  </si>
  <si>
    <t>Sr. No. (C1 — Security Safeguards: Sec 8(5), Rule 6)</t>
  </si>
  <si>
    <t>C1.1</t>
  </si>
  <si>
    <t>Sec 8(5)</t>
  </si>
  <si>
    <t>Rule 6(1)(a)</t>
  </si>
  <si>
    <t>DF must implement reasonable security safeguards to prevent personal data breach.</t>
  </si>
  <si>
    <t>Minimum safeguards listed (encryption, obfuscation, masking, tokens).</t>
  </si>
  <si>
    <t>Security Safeguard Implementation</t>
  </si>
  <si>
    <t>C1.2</t>
  </si>
  <si>
    <t>Rule 6(1)(b)</t>
  </si>
  <si>
    <t>DF must control access to computer resources used to process personal data.</t>
  </si>
  <si>
    <t>Access control measures required.</t>
  </si>
  <si>
    <t>Access Control Enforcement</t>
  </si>
  <si>
    <t>C1.3</t>
  </si>
  <si>
    <t>Rule 6(1)(c)</t>
  </si>
  <si>
    <t>DF must maintain visibility on access (logs, monitoring, review).</t>
  </si>
  <si>
    <t>Logging/monitoring for detecting unauthorised access.</t>
  </si>
  <si>
    <t>Security Logging &amp; Monitoring</t>
  </si>
  <si>
    <t>C1.4</t>
  </si>
  <si>
    <t>Rule 6(1)(d)</t>
  </si>
  <si>
    <t>DF must ensure business continuity/continued processing safeguards (backups).</t>
  </si>
  <si>
    <t>Backups and resilience expectation.</t>
  </si>
  <si>
    <t>Backup &amp; Availability Controls</t>
  </si>
  <si>
    <t>C1.5</t>
  </si>
  <si>
    <t>Rule 6(1)(e)</t>
  </si>
  <si>
    <t>DF must retain logs and relevant personal data for at least one year to enable detection/investigation, unless other law requires otherwise.</t>
  </si>
  <si>
    <t>One-year retention requirement for logs.</t>
  </si>
  <si>
    <t>Log &amp; Data Retention (1 year)</t>
  </si>
  <si>
    <t>C1.6</t>
  </si>
  <si>
    <t>Rule 6(1)(f)</t>
  </si>
  <si>
    <t>DF must include processor contractual obligations for reasonable security safeguards.</t>
  </si>
  <si>
    <t>Processor contractual security clause required.</t>
  </si>
  <si>
    <t>Processor Security Contract Clauses</t>
  </si>
  <si>
    <t>C1.7</t>
  </si>
  <si>
    <t>Rule 6(1)(g)</t>
  </si>
  <si>
    <t>DF must adopt appropriate technical &amp; organisational measures to observe security safeguards.</t>
  </si>
  <si>
    <t>Organisational measures requirement.</t>
  </si>
  <si>
    <t>Org Measures &amp; Governance</t>
  </si>
  <si>
    <t>C1.8</t>
  </si>
  <si>
    <t>Rule 6</t>
  </si>
  <si>
    <t>Data-at-rest encryption, data-in-transit encryption, key management, and masking are explicitly referenced as minimum examples.</t>
  </si>
  <si>
    <t>Encryption / masking / tokenisation examples.</t>
  </si>
  <si>
    <t>Encryption &amp; Masking Controls</t>
  </si>
  <si>
    <t>C1.9</t>
  </si>
  <si>
    <t>Access authorisation, MFA, RBAC, privileged access management are required as reasonable safeguards.</t>
  </si>
  <si>
    <t>Authentication and RBAC expectations.</t>
  </si>
  <si>
    <t>Authentication &amp; RBAC</t>
  </si>
  <si>
    <t>C1.10</t>
  </si>
  <si>
    <t>Secure configuration, vulnerability management, endpoint protection and secure SDLC are part of reasonable safeguards.</t>
  </si>
  <si>
    <t>Secure configuration and VA/PT expected.</t>
  </si>
  <si>
    <t>VA/PT, Secure SDLC, Endpoint Security</t>
  </si>
  <si>
    <t>C1.11</t>
  </si>
  <si>
    <t>Physical security of servers and media sanitisation / secure disposal are included.</t>
  </si>
  <si>
    <t>Physical &amp; media disposal controls.</t>
  </si>
  <si>
    <t>Physical Security &amp; Disposal</t>
  </si>
  <si>
    <t>C1.12</t>
  </si>
  <si>
    <t>Cloud security must be aligned to these safeguards; auditability and log integrity must be ensured.</t>
  </si>
  <si>
    <t>Cloud &amp; log integrity expectation.</t>
  </si>
  <si>
    <t>Cloud Security &amp; Log Integrity</t>
  </si>
  <si>
    <t>C1.13</t>
  </si>
  <si>
    <t>Periodic review and updates of safeguards on a risk-basis.</t>
  </si>
  <si>
    <t>Continuous review requirement.</t>
  </si>
  <si>
    <t>Security Review &amp; Updates</t>
  </si>
  <si>
    <t>C1.14</t>
  </si>
  <si>
    <t>Rule 8(3)</t>
  </si>
  <si>
    <t>DF must ensure processors implement equivalent safeguards.</t>
  </si>
  <si>
    <t>Processor must mirror DF standards.</t>
  </si>
  <si>
    <t>Processor Security Compliance</t>
  </si>
  <si>
    <t>C1.15</t>
  </si>
  <si>
    <t>Rule 8(1)(l)</t>
  </si>
  <si>
    <t>DF must ensure role-based access control (RBAC).</t>
  </si>
  <si>
    <t>Mandates authorisation controls.</t>
  </si>
  <si>
    <t>RBAC Enforcement</t>
  </si>
  <si>
    <t>C1.16</t>
  </si>
  <si>
    <t>Rule 8(1)(m)</t>
  </si>
  <si>
    <t>DF must secure endpoints accessing personal data.</t>
  </si>
  <si>
    <t>Endpoint protection requirement.</t>
  </si>
  <si>
    <t>Endpoint Security</t>
  </si>
  <si>
    <t>C1.17</t>
  </si>
  <si>
    <t>Rule 8(1)(n)</t>
  </si>
  <si>
    <t>DF must ensure personal data is not stored on unsecured devices.</t>
  </si>
  <si>
    <t>Prevents unauthorised endpoints.</t>
  </si>
  <si>
    <t>Device Storage Restriction</t>
  </si>
  <si>
    <t>C1.18</t>
  </si>
  <si>
    <t>Rule 8(1)(o)</t>
  </si>
  <si>
    <t>DF must disable default credentials and enforce strong password policy.</t>
  </si>
  <si>
    <t>Password policy requirement.</t>
  </si>
  <si>
    <t>Password Policy Enforcement</t>
  </si>
  <si>
    <t>C1.19</t>
  </si>
  <si>
    <t>Rule 8(1)(p)</t>
  </si>
  <si>
    <t>DF must implement secure API access and authentication.</t>
  </si>
  <si>
    <t>API security requirement.</t>
  </si>
  <si>
    <t>API Security Governance</t>
  </si>
  <si>
    <t>C1.20</t>
  </si>
  <si>
    <t>Rule 8(1)(q)</t>
  </si>
  <si>
    <t>DF must ensure audit logs cannot be tampered with.</t>
  </si>
  <si>
    <t>Log integrity required.</t>
  </si>
  <si>
    <t>Audit Log Integrity Control</t>
  </si>
  <si>
    <t>C1.21</t>
  </si>
  <si>
    <t>Rule 8(1)(r)</t>
  </si>
  <si>
    <t>DF must secure cloud environments as per risk profile.</t>
  </si>
  <si>
    <t>Cloud security expectation.</t>
  </si>
  <si>
    <t>Cloud Security Controls</t>
  </si>
  <si>
    <t>C1.22</t>
  </si>
  <si>
    <t>Rule 8(1)(s)</t>
  </si>
  <si>
    <t>DF must ensure encryption keys are securely stored &amp; rotated.</t>
  </si>
  <si>
    <t>Key management requirement.</t>
  </si>
  <si>
    <t>Encryption Key Management</t>
  </si>
  <si>
    <t>C1.23</t>
  </si>
  <si>
    <t>Rule 8(1)(t)</t>
  </si>
  <si>
    <t>DF must restrict privilege escalation and maintain admin account governance.</t>
  </si>
  <si>
    <t>Admin controls required.</t>
  </si>
  <si>
    <t>Privileged Access Management</t>
  </si>
  <si>
    <t>C1.24</t>
  </si>
  <si>
    <t>Rule 8(1)(u)</t>
  </si>
  <si>
    <t>DF must maintain secure SDLC for systems touching personal data.</t>
  </si>
  <si>
    <t>Secure development required.</t>
  </si>
  <si>
    <t>Secure SDLC Controls</t>
  </si>
  <si>
    <t>C1.25</t>
  </si>
  <si>
    <t>Rule 8(1)(v)</t>
  </si>
  <si>
    <t>DF must enforce data masking where full visibility isn't needed.</t>
  </si>
  <si>
    <t>Masking/minimisation requirement.</t>
  </si>
  <si>
    <t>Data Masking Controls</t>
  </si>
  <si>
    <t>C1.26</t>
  </si>
  <si>
    <t>Rule 8(1)(w)</t>
  </si>
  <si>
    <t>DF must protect against malware/viruses.</t>
  </si>
  <si>
    <t>Anti-malware requirement.</t>
  </si>
  <si>
    <t>Anti-malware Controls</t>
  </si>
  <si>
    <t>C1.27</t>
  </si>
  <si>
    <t>Rule 8(1)(x)</t>
  </si>
  <si>
    <t>DF must enforce network security controls (firewalls, segmentation).</t>
  </si>
  <si>
    <t>Network defence requirement.</t>
  </si>
  <si>
    <t>Network Security Controls</t>
  </si>
  <si>
    <t>C1.28</t>
  </si>
  <si>
    <t>Rule 8(1)(y)</t>
  </si>
  <si>
    <t>DF must secure data disposal (media sanitisation, destruction).</t>
  </si>
  <si>
    <t>Secure destruction required.</t>
  </si>
  <si>
    <t>Secure Data Disposal</t>
  </si>
  <si>
    <t>C1.29</t>
  </si>
  <si>
    <t>DF must regularly review and update safeguards based on new risks.</t>
  </si>
  <si>
    <t>Continuous improvement requirement.</t>
  </si>
  <si>
    <t>C1.30</t>
  </si>
  <si>
    <t>DF must ensure third-party processors adhere to same security standards.</t>
  </si>
  <si>
    <t>Processor compliance requirement.</t>
  </si>
  <si>
    <t>Third-party Security Assurance</t>
  </si>
  <si>
    <t>Sr. No. (C1.1 — Cybersecurity Breach Preparedness: Sec 8(5), Rule 6; Intimation: Rule 7)</t>
  </si>
  <si>
    <t>C1.1.1</t>
  </si>
  <si>
    <t>Implement detection capabilities (logs, monitoring) to surface unauthorised access.</t>
  </si>
  <si>
    <t>Logging/monitoring mandated under Rule 6.</t>
  </si>
  <si>
    <t>Breach Detection Controls</t>
  </si>
  <si>
    <t>C1.1.2</t>
  </si>
  <si>
    <t>Rule 6 &amp; Act Sec 8(6)</t>
  </si>
  <si>
    <t>Maintain an Incident Response Plan (IRP), assign roles/responsibilities and escalation paths.</t>
  </si>
  <si>
    <t>Organisational measures &amp; processor alignment required.</t>
  </si>
  <si>
    <t>IRP, Roles &amp; Escalation</t>
  </si>
  <si>
    <t>C1.1.3</t>
  </si>
  <si>
    <t>Sec 8(6)</t>
  </si>
  <si>
    <t>Rule 7(1)</t>
  </si>
  <si>
    <t>On becoming aware of a personal data breach, the DF must intimate affected Data Principals without delay with specified content (nature, extent, consequences, mitigation, contact).</t>
  </si>
  <si>
    <t>Rule 7 sets content and timing for DP notifications.</t>
  </si>
  <si>
    <t>DP Notification (Immediate)</t>
  </si>
  <si>
    <t>C1.1.4</t>
  </si>
  <si>
    <t>Rule 7(2)</t>
  </si>
  <si>
    <t>DF must intimate the Board: without delay initial details; and within 72 hours (or longer if allowed) updated/detailed information (facts, root cause, mitigation, findings, remedial measures, DP intimations).</t>
  </si>
  <si>
    <t>Rule 7 prescribes Board notification timelines and content.</t>
  </si>
  <si>
    <t>Board Notification (72-hour update)</t>
  </si>
  <si>
    <t>C1.1.5</t>
  </si>
  <si>
    <t>Retain logs and relevant data for at least one year to enable detection, investigation and remediation.</t>
  </si>
  <si>
    <t>One-year retention requirement supports investigations.</t>
  </si>
  <si>
    <t>Investigation Retention (1 year)</t>
  </si>
  <si>
    <t>C1.1.6</t>
  </si>
  <si>
    <t>Maintain forensic readiness and chain-of-custody for evidence.</t>
  </si>
  <si>
    <t>Rule 6 logging + investigation expectations.</t>
  </si>
  <si>
    <t>Forensic Readiness</t>
  </si>
  <si>
    <t>C1.1.7</t>
  </si>
  <si>
    <t>Breach severity assessment framework to determine notification scope and content before Board/DP notifications.</t>
  </si>
  <si>
    <t>Rule 7 requires assessment before reporting.</t>
  </si>
  <si>
    <t>Breach Severity Assessment</t>
  </si>
  <si>
    <t>C1.1.8</t>
  </si>
  <si>
    <t>Containment, remediation, recovery (RTO/RPO) and secure communications during incident response.</t>
  </si>
  <si>
    <t>Rule 6 requires measures for continued processing/availability.</t>
  </si>
  <si>
    <t>Containment &amp; Recovery</t>
  </si>
  <si>
    <t>C1.1.9</t>
  </si>
  <si>
    <t>Rule 7 &amp; Rule 6</t>
  </si>
  <si>
    <t>Maintain a breach playbook, conduct regular IR drills, train staff, and update safeguards post-incident.</t>
  </si>
  <si>
    <t>Rule 6 (safeguards) and Rule 7 (intimation) together drive preparedness.</t>
  </si>
  <si>
    <t>IR Drills &amp; Post-mortem</t>
  </si>
  <si>
    <t>C1.1.10</t>
  </si>
  <si>
    <t>Rule 6 &amp; Rule 7</t>
  </si>
  <si>
    <t>Ensure processors meet the same breach preparedness standards and contractual breach obligations.</t>
  </si>
  <si>
    <t>Processor obligations and contractual clauses required.</t>
  </si>
  <si>
    <t>Processor Breach Requirements</t>
  </si>
  <si>
    <t>Not Assessed</t>
  </si>
  <si>
    <t>Compliant</t>
  </si>
  <si>
    <t>Partially Compliant</t>
  </si>
  <si>
    <t>Non-Compliant</t>
  </si>
  <si>
    <t>Not Applicable</t>
  </si>
  <si>
    <t>Not Started</t>
  </si>
  <si>
    <t>Planning</t>
  </si>
  <si>
    <t>In Progress</t>
  </si>
  <si>
    <t>Testing</t>
  </si>
  <si>
    <t>Implemented</t>
  </si>
  <si>
    <t>Verified</t>
  </si>
  <si>
    <t>Critical</t>
  </si>
  <si>
    <t>High</t>
  </si>
  <si>
    <t>Medium</t>
  </si>
  <si>
    <t>Low</t>
  </si>
  <si>
    <t>N/A</t>
  </si>
  <si>
    <t>DPDP COMPLIANCE FRAMEWORK — USER GUIDE</t>
  </si>
  <si>
    <t>FRAMEWORK ARCHITECTURE</t>
  </si>
  <si>
    <t>Express Evaluation</t>
  </si>
  <si>
    <t>Complete this sheet FIRST. It determines your entity classification (DF/SDF/CM), applicable control domains, and sector-specific obligations. The auto-computed Applicability Result column directs you to relevant controls in the Assessment + Implementation tracker.</t>
  </si>
  <si>
    <t>RACI Matrix</t>
  </si>
  <si>
    <t>Maps every compliance control to functional and business unit-level responsibilities using R (Responsible), A (Accountable), C (Consulted), I (Informed). Central functions (DPO, CISO, Legal, IT, HR, Product, Procurement, Ops) and BU-level roles (BU Head, BU Privacy Champion, BU IT Lead) are both addressed. Customise RACI assignments to your org structure.</t>
  </si>
  <si>
    <t>Assessment + Implementation</t>
  </si>
  <si>
    <t>Granular Controls</t>
  </si>
  <si>
    <t>340 discrete control items decomposed from the Act and Rules. Enhanced with Assessment Status, Maturity Level, Implementation Status, Ownership, Risk Rating, and Evidence Status columns for operational tracking. Use this for engineering and process implementation.</t>
  </si>
  <si>
    <t>MATURITY MODEL</t>
  </si>
  <si>
    <t>L0 — Absent</t>
  </si>
  <si>
    <t>No documented or implemented control exists for this requirement.</t>
  </si>
  <si>
    <t>L1 — Documented</t>
  </si>
  <si>
    <t>Policy, procedure, or standard operating procedure exists but may not be consistently implemented.</t>
  </si>
  <si>
    <t>L2 — Implemented</t>
  </si>
  <si>
    <t>Control is deployed and operational across relevant systems and processes.</t>
  </si>
  <si>
    <t>L3 — Monitored</t>
  </si>
  <si>
    <t>Control effectiveness is periodically measured, reported, and reviewed.</t>
  </si>
  <si>
    <t>L4 — Optimised</t>
  </si>
  <si>
    <t>Control is continuously improved based on metrics, incidents, and regulatory developments.</t>
  </si>
  <si>
    <t>IMPLEMENTATION LIFECYCLE</t>
  </si>
  <si>
    <t>Control has not entered implementation planning.</t>
  </si>
  <si>
    <t>Requirements gathered, owner assigned, approach designed.</t>
  </si>
  <si>
    <t>Active development, configuration, or deployment underway.</t>
  </si>
  <si>
    <t>Control implemented and undergoing UAT, validation, or pilot.</t>
  </si>
  <si>
    <t>Control deployed in production across applicable scope.</t>
  </si>
  <si>
    <t>Independent verification (audit, review, or testing) confirms control effectiveness.</t>
  </si>
  <si>
    <t>RACI DEFINITIONS</t>
  </si>
  <si>
    <t>R — Responsible</t>
  </si>
  <si>
    <t>Executes the work. The function or individual who performs the control activity, builds the system, drafts the policy, or conducts the assessment.</t>
  </si>
  <si>
    <t>A — Accountable</t>
  </si>
  <si>
    <t>Owns the outcome. The single function that is ultimately answerable for the control's compliance. Only one 'A' per control row is ideal.</t>
  </si>
  <si>
    <t>C — Consulted</t>
  </si>
  <si>
    <t>Provides input. Functions whose expertise is required before or during control implementation (two-way communication).</t>
  </si>
  <si>
    <t>I — Informed</t>
  </si>
  <si>
    <t>Kept updated. Functions that need to be notified of progress, decisions, or outcomes (one-way communication).</t>
  </si>
  <si>
    <t>BUSINESS UNIT BIFURCATION</t>
  </si>
  <si>
    <t>When to Activate</t>
  </si>
  <si>
    <t>If your Express Evaluation question D6 = Yes (multiple BUs processing PD independently), the BU columns in the RACI Matrix become operative. Each BU should have a named Privacy Champion and IT Lead.</t>
  </si>
  <si>
    <t>BU Head</t>
  </si>
  <si>
    <t>Accountable for BU-level compliance posture. Ensures BU-specific processing activities are mapped and controls are implemented.</t>
  </si>
  <si>
    <t>BU-embedded privacy liaison. Responsible for BU-level consent operations, rights handling, and coordination with central DPO.</t>
  </si>
  <si>
    <t>Responsible for BU-level technical controls: encryption, access management, logging, and system configurations.</t>
  </si>
  <si>
    <t>RISK RATING GUIDE</t>
  </si>
  <si>
    <t>Penalty exposure up to INR 250 Cr; direct regulatory enforcement risk; breach-related obligations; child data non-compliance.</t>
  </si>
  <si>
    <t>Significant compliance gap with operational or reputational impact; rights denial; security inadequacy.</t>
  </si>
  <si>
    <t>Moderate gap requiring remediation within defined timeline; partial implementation that needs enhancement.</t>
  </si>
  <si>
    <t>Minor gap or advisory control; low enforcement probability; optimisation-level improvement.</t>
  </si>
  <si>
    <t>DPDP COMPLIANCE FRAMEWORK — CONTROL ASSESSMENT MATRIX</t>
  </si>
  <si>
    <t>Purpose: Assess maturity (0–4) for each control, document evidence status and gaps. Summary scores auto-calculate below. Aligned to DPDP Act 2023 &amp; Rules 2025.</t>
  </si>
  <si>
    <t>Category</t>
  </si>
  <si>
    <t>Priority</t>
  </si>
  <si>
    <t>Control Name</t>
  </si>
  <si>
    <t>Key Assessment Question</t>
  </si>
  <si>
    <t>Maturity
(0-4)</t>
  </si>
  <si>
    <t>Evidence?</t>
  </si>
  <si>
    <t>Gap / Notes</t>
  </si>
  <si>
    <t>DPDP Section</t>
  </si>
  <si>
    <t>Max Penalty</t>
  </si>
  <si>
    <t>GOV-001</t>
  </si>
  <si>
    <t>Governance &amp; Accountability</t>
  </si>
  <si>
    <t>Applicability of the law as Controller</t>
  </si>
  <si>
    <t>Has the organisation determined and documented its Controller/Data Fiduciary role for each processing activity?</t>
  </si>
  <si>
    <t>No</t>
  </si>
  <si>
    <t>Sec. 2(i), 3, 4</t>
  </si>
  <si>
    <t>₹50 Cr</t>
  </si>
  <si>
    <t>GOV-002</t>
  </si>
  <si>
    <t>Applicability of the law as Processor</t>
  </si>
  <si>
    <t>Are Data Processing Agreements in place with all controllers, incorporating Rule 6 security requirements?</t>
  </si>
  <si>
    <t>Sec. 2(k), 8(5), 29</t>
  </si>
  <si>
    <t>₹250 Cr</t>
  </si>
  <si>
    <t>GOV-003</t>
  </si>
  <si>
    <t>Principles Relating to Processing</t>
  </si>
  <si>
    <t>Are all processing activities mapped to the seven data protection principles?</t>
  </si>
  <si>
    <t>Sec. 4, Rules 3, 6, 8</t>
  </si>
  <si>
    <t>CLB-001</t>
  </si>
  <si>
    <t>Consent &amp; Lawful Basis</t>
  </si>
  <si>
    <t>Lawful Basis for Processing</t>
  </si>
  <si>
    <t>Is a lawful basis documented for each processing activity (consent or legitimate use)?</t>
  </si>
  <si>
    <t>Sec. 4, 6, 7</t>
  </si>
  <si>
    <t>CLB-002</t>
  </si>
  <si>
    <t>Valid Consent Conditions</t>
  </si>
  <si>
    <t>Are consent mechanisms compliant (free, specific, informed, unconditional, unambiguous)?</t>
  </si>
  <si>
    <t>Sec. 6, Rule 3</t>
  </si>
  <si>
    <t>CLB-003</t>
  </si>
  <si>
    <t>Child Data Processing &amp; Parental Consent</t>
  </si>
  <si>
    <t>Are age-verification and verifiable parental consent mechanisms implemented for under-18 data?</t>
  </si>
  <si>
    <t>Sec. 9, Rules 10-12</t>
  </si>
  <si>
    <t>₹200 Cr</t>
  </si>
  <si>
    <t>CLB-004</t>
  </si>
  <si>
    <t>Processing Special Categories</t>
  </si>
  <si>
    <t>Is an inventory maintained for special-category processing with enhanced safeguards?</t>
  </si>
  <si>
    <t>Sec. 10 (future)</t>
  </si>
  <si>
    <t>₹150 Cr</t>
  </si>
  <si>
    <t>GOV-004</t>
  </si>
  <si>
    <t>Processing Criminal Conviction Data</t>
  </si>
  <si>
    <t>Is criminal data processing under official authority with documented legal basis?</t>
  </si>
  <si>
    <t>N/A (general)</t>
  </si>
  <si>
    <t>GOV-005</t>
  </si>
  <si>
    <t>Processing Without Identification</t>
  </si>
  <si>
    <t>Are anonymisation techniques validated with re-identification risk assessments?</t>
  </si>
  <si>
    <t>Sec. 2(j), 11(2)</t>
  </si>
  <si>
    <t>CNT-001</t>
  </si>
  <si>
    <t>Consent &amp; Notices</t>
  </si>
  <si>
    <t>Transparency &amp; Rights Facilitation</t>
  </si>
  <si>
    <t>Are standalone, plain-language notices with Rule 3 elements deployed at all points?</t>
  </si>
  <si>
    <t>Sec. 5, 6, Rules 3, 9, 14</t>
  </si>
  <si>
    <t>CNT-002</t>
  </si>
  <si>
    <t>Information at Collection</t>
  </si>
  <si>
    <t>Are standalone notices issued at/before every data collection point?</t>
  </si>
  <si>
    <t>Sec. 5, 6, Rule 3</t>
  </si>
  <si>
    <t>CNT-003</t>
  </si>
  <si>
    <t>Information — Indirect Collection</t>
  </si>
  <si>
    <t>Are indirect collection activities registered with notices delivered within timelines?</t>
  </si>
  <si>
    <t>Sec. 5, 8(1)</t>
  </si>
  <si>
    <t>DPR-001</t>
  </si>
  <si>
    <t>Right of Access</t>
  </si>
  <si>
    <t>Are accessible DSAR mechanisms published per Rule 14 with statutory SLAs?</t>
  </si>
  <si>
    <t>Sec. 11(1)(a-c)</t>
  </si>
  <si>
    <t>DPR-002</t>
  </si>
  <si>
    <t>Right to Rectification</t>
  </si>
  <si>
    <t>Are correction mechanisms accessible with propagation to downstream systems?</t>
  </si>
  <si>
    <t>Sec. 8(3), 11(1)(b)</t>
  </si>
  <si>
    <t>DPR-003</t>
  </si>
  <si>
    <t>Right to Erasure</t>
  </si>
  <si>
    <t>Are automated erasure workflows with Rule 8 timelines and 48-hr pre-notice implemented?</t>
  </si>
  <si>
    <t>Sec. 8(7), 11(1)(c)</t>
  </si>
  <si>
    <t>DPR-004</t>
  </si>
  <si>
    <t>Right to Restrict Processing</t>
  </si>
  <si>
    <t>Are restriction/withdrawal mechanisms functioning to cease processing on request?</t>
  </si>
  <si>
    <t>Sec. 6(5), 13</t>
  </si>
  <si>
    <t>DPR-005</t>
  </si>
  <si>
    <t>Notification to Recipients</t>
  </si>
  <si>
    <t>Is a data disclosure register maintained with downstream notification workflows?</t>
  </si>
  <si>
    <t>Sec. 8(3), Rule 14</t>
  </si>
  <si>
    <t>DPR-006</t>
  </si>
  <si>
    <t>Right to Data Portability</t>
  </si>
  <si>
    <t>Can data exports be generated in structured, machine-readable formats?</t>
  </si>
  <si>
    <t>GDPR Art. 20 only</t>
  </si>
  <si>
    <t>DPR-007</t>
  </si>
  <si>
    <t>Right to Object</t>
  </si>
  <si>
    <t>Are consent withdrawal and objection mechanisms as easy as giving consent?</t>
  </si>
  <si>
    <t>DPR-008</t>
  </si>
  <si>
    <t>Automated Decision-Making &amp; Profiling</t>
  </si>
  <si>
    <t>Are algorithmic assessments conducted and child profiling/tracking prohibited?</t>
  </si>
  <si>
    <t>Sec. 9(3-4), Rule 13(2)(b)</t>
  </si>
  <si>
    <t>GOV-006</t>
  </si>
  <si>
    <t>Restrictions on Rights</t>
  </si>
  <si>
    <t>Is an exemptions register maintained with legal review for each Sec. 17 exemption?</t>
  </si>
  <si>
    <t>Sec. 17, Rule 5</t>
  </si>
  <si>
    <t>GOV-007</t>
  </si>
  <si>
    <t>Controller Responsibility</t>
  </si>
  <si>
    <t>Is a data protection governance framework with Rule 6 safeguards implemented?</t>
  </si>
  <si>
    <t>Sec. 8(1-5), Rules 6, 9, 13</t>
  </si>
  <si>
    <t>GOV-008</t>
  </si>
  <si>
    <t>Data Protection by Design &amp; Default</t>
  </si>
  <si>
    <t>Is privacy integrated into SDLC with mandatory checkpoints at each stage?</t>
  </si>
  <si>
    <t>Sec. 4, Rules 6, 8</t>
  </si>
  <si>
    <t>GOV-009</t>
  </si>
  <si>
    <t>Joint Controllers</t>
  </si>
  <si>
    <t>Are joint controller arrangements documented with transparent responsibility allocation?</t>
  </si>
  <si>
    <t>Sec. 8(1)</t>
  </si>
  <si>
    <t>GOV-010</t>
  </si>
  <si>
    <t>EU Representative</t>
  </si>
  <si>
    <t>Is a GDPR Art. 27 EU representative appointed (where applicable)?</t>
  </si>
  <si>
    <t>GDPR Art. 27 only</t>
  </si>
  <si>
    <t>PTP-001</t>
  </si>
  <si>
    <t>Processors &amp; Third Parties</t>
  </si>
  <si>
    <t>Processor Contracts &amp; Oversight</t>
  </si>
  <si>
    <t>Are DPAs with Rule 6 safeguards executed with every processor, with periodic audits?</t>
  </si>
  <si>
    <t>Sec. 8(5), 29, Rule 6</t>
  </si>
  <si>
    <t>GOV-011</t>
  </si>
  <si>
    <t>Processing Under Authority</t>
  </si>
  <si>
    <t>Do all staff/processors process data only on documented instructions?</t>
  </si>
  <si>
    <t>GOV-012</t>
  </si>
  <si>
    <t>Records of Processing Activities</t>
  </si>
  <si>
    <t>Is a comprehensive RoPA maintained with Rule 8(3) log retention?</t>
  </si>
  <si>
    <t>Sec. 10, Rule 13</t>
  </si>
  <si>
    <t>GOV-013</t>
  </si>
  <si>
    <t>Cooperation with Authorities</t>
  </si>
  <si>
    <t>Are DPB cooperation protocols and 72-hour breach reporting workflows in place?</t>
  </si>
  <si>
    <t>Sec. 8(10), 28-30, Rule 7</t>
  </si>
  <si>
    <t>SEC-001</t>
  </si>
  <si>
    <t>Security &amp; Safeguards</t>
  </si>
  <si>
    <t>Security of Processing</t>
  </si>
  <si>
    <t>Are ALL Rule 6 safeguards: encryption, access controls, logs, backup, log retention?</t>
  </si>
  <si>
    <t>Sec. 8(4), Rule 6</t>
  </si>
  <si>
    <t>BRC-001</t>
  </si>
  <si>
    <t>Breach Management</t>
  </si>
  <si>
    <t>Breach Notification to Authority</t>
  </si>
  <si>
    <t>Is zero-threshold breach notification to DPB/CERT-In operational within 72 hours?</t>
  </si>
  <si>
    <t>Sec. 8(6), Rule 7</t>
  </si>
  <si>
    <t>BRC-002</t>
  </si>
  <si>
    <t>Breach Notification to Data Subjects</t>
  </si>
  <si>
    <t>Are multi-channel Data Principal notification templates pre-approved and tested?</t>
  </si>
  <si>
    <t>GOV-014</t>
  </si>
  <si>
    <t>Data Protection Impact Assessment</t>
  </si>
  <si>
    <t>Are DPIAs conducted for high-risk processing (annual for SDFs per Rule 13)?</t>
  </si>
  <si>
    <t>Sec. 10(2), Rule 13</t>
  </si>
  <si>
    <t>GOV-015</t>
  </si>
  <si>
    <t>Prior Consultation with Authority</t>
  </si>
  <si>
    <t>Is a regulatory engagement process for high residual risk processing established?</t>
  </si>
  <si>
    <t>GDPR Art. 36</t>
  </si>
  <si>
    <t>GOV-016</t>
  </si>
  <si>
    <t>Appointment of DPO</t>
  </si>
  <si>
    <t>Is a DPO appointed (India-based for SDFs) with published contact per Rule 9?</t>
  </si>
  <si>
    <t>Sec. 10(1)(a), Rules 9, 13</t>
  </si>
  <si>
    <t>GOV-017</t>
  </si>
  <si>
    <t>DPO Role &amp; Independence</t>
  </si>
  <si>
    <t>Does the DPO report to highest management with independence protections?</t>
  </si>
  <si>
    <t>Sec. 10(1)(a), Rule 13</t>
  </si>
  <si>
    <t>GOV-018</t>
  </si>
  <si>
    <t>Tasks of DPO</t>
  </si>
  <si>
    <t>Are DPO tasks formally assigned: DPIA, audit, DPB reporting, grievance, training?</t>
  </si>
  <si>
    <t>GOV-019</t>
  </si>
  <si>
    <t>Codes of Conduct &amp; Certification</t>
  </si>
  <si>
    <t>Are annual DPIAs/audits conducted (SDFs) or voluntary standards (ISO 27701) adopted?</t>
  </si>
  <si>
    <t>GOV-020</t>
  </si>
  <si>
    <t>Processing of Employee Data</t>
  </si>
  <si>
    <t>Are employee privacy notices, lawful bases, and Rule 6 safeguards applied to all HR data?</t>
  </si>
  <si>
    <t>Sec. 7(1)(f), Rules 3, 6, 8</t>
  </si>
  <si>
    <t>GOV-021</t>
  </si>
  <si>
    <t>Archiving, Research &amp; Statistics</t>
  </si>
  <si>
    <t>Are Sec. 17(2)(b) safeguards applied to research/archival processing?</t>
  </si>
  <si>
    <t>Sec. 17(2)(b), Rule 5</t>
  </si>
  <si>
    <t>CBT-001</t>
  </si>
  <si>
    <t>Cross-Border Transfers</t>
  </si>
  <si>
    <t>General Transfer Principle</t>
  </si>
  <si>
    <t>Is a transfer register maintained with screening against Government restrictions?</t>
  </si>
  <si>
    <t>Sec. 16, Rule 15</t>
  </si>
  <si>
    <t>CBT-002</t>
  </si>
  <si>
    <t>Adequacy Decisions</t>
  </si>
  <si>
    <t>Are GDPR adequacy decisions monitored with fallback mechanisms ready?</t>
  </si>
  <si>
    <t>Sec. 16 (binary)</t>
  </si>
  <si>
    <t>CBT-003</t>
  </si>
  <si>
    <t>Transfers with Safeguards</t>
  </si>
  <si>
    <t>Are SCCs/TIAs for GDPR transfers and Rule 6 safeguards for DPDP transfers in place?</t>
  </si>
  <si>
    <t>Sec. 8(5), Rule 6</t>
  </si>
  <si>
    <t>CBT-004</t>
  </si>
  <si>
    <t>Binding Corporate Rules</t>
  </si>
  <si>
    <t>Are BCRs approved (GDPR) with SDF data-localisation assessed (DPDP)?</t>
  </si>
  <si>
    <t>Rule 13(2)(c)</t>
  </si>
  <si>
    <t>CBT-005</t>
  </si>
  <si>
    <t>Foreign Authority Demands</t>
  </si>
  <si>
    <t>Is a legal escalation protocol for foreign authority data requests established?</t>
  </si>
  <si>
    <t>Sec. 16(2), Rule 15</t>
  </si>
  <si>
    <t>CBT-006</t>
  </si>
  <si>
    <t>Derogations for Transfers</t>
  </si>
  <si>
    <t>Is derogation reliance limited, documented, and reviewed quarterly?</t>
  </si>
  <si>
    <t>GDPR Art. 49</t>
  </si>
  <si>
    <t>CBT-007</t>
  </si>
  <si>
    <t>International Cooperation</t>
  </si>
  <si>
    <t>Are international cooperation frameworks monitored and aligned?</t>
  </si>
  <si>
    <t>GOV-022</t>
  </si>
  <si>
    <t>SDF Identification &amp; Readiness</t>
  </si>
  <si>
    <t>Has the organisation assessed SDF status and pre-positioned Rule 13 resources?</t>
  </si>
  <si>
    <t>GOV-023</t>
  </si>
  <si>
    <t>SDF Mandatory DPIA &amp; Audit</t>
  </si>
  <si>
    <t>Are annual DPIAs and independent audits conducted with DPB reporting?</t>
  </si>
  <si>
    <t>Sec. 10(2), Rule 13(2)</t>
  </si>
  <si>
    <t>DPR-009</t>
  </si>
  <si>
    <t>Grievance Redressal &amp; Contact</t>
  </si>
  <si>
    <t>Is a grievance mechanism with 90-day SLA and published Rule 9 contact operational?</t>
  </si>
  <si>
    <t>Sec. 8(10), 13, Rules 9, 14</t>
  </si>
  <si>
    <t>DPR-010</t>
  </si>
  <si>
    <t>Nomination Mechanism</t>
  </si>
  <si>
    <t>Is a secure nomination process for rights exercise on death/incapacity implemented?</t>
  </si>
  <si>
    <t>Sec. 14, Rule 14</t>
  </si>
  <si>
    <t>GOV-024</t>
  </si>
  <si>
    <t>Legal Exemptions Governance</t>
  </si>
  <si>
    <t>Is an exemptions register with legal sign-off and Rule 5 safeguards maintained?</t>
  </si>
  <si>
    <t>CNT-004</t>
  </si>
  <si>
    <t>Consent Manager Integration</t>
  </si>
  <si>
    <t>Is Consent Manager readiness assessed for Nov 2026 deadline (Rule 4)?</t>
  </si>
  <si>
    <t>Sec. 6(7-9), Rule 4</t>
  </si>
  <si>
    <t>DLM-001</t>
  </si>
  <si>
    <t>Data Lifecycle Management</t>
  </si>
  <si>
    <t>Storage Limitation &amp; Erasure</t>
  </si>
  <si>
    <t>Are retention schedules with automated erasure and Rule 8 timelines implemented?</t>
  </si>
  <si>
    <t>Sec. 8(7), Rule 8</t>
  </si>
  <si>
    <t>CBT-008</t>
  </si>
  <si>
    <t>Cross-Border Transfer Controls</t>
  </si>
  <si>
    <t>Is a transfer inventory with Government notification screening maintained?</t>
  </si>
  <si>
    <t>Sec. 16, Rules 15, 13(2)(c)</t>
  </si>
  <si>
    <t>SEC-002</t>
  </si>
  <si>
    <t>Security Safeguards (Rule 6)</t>
  </si>
  <si>
    <t>Are ALL Rule 6 safeguards verified: encryption, access controls, logs, backup, 1-yr retention?</t>
  </si>
  <si>
    <t>Sec. 8(4-5), Rule 6</t>
  </si>
  <si>
    <t>GOV-003a</t>
  </si>
  <si>
    <t>Processing Principles</t>
  </si>
  <si>
    <t>Lawfulness, Fairness &amp; Transparency</t>
  </si>
  <si>
    <t>Is processing under valid consent (Sec. 6) or legitimate use (Sec. 7) with Rule 3 notices?</t>
  </si>
  <si>
    <t>Sec. 4, Rule 3</t>
  </si>
  <si>
    <t>GOV-003b</t>
  </si>
  <si>
    <t>Purpose Limitation</t>
  </si>
  <si>
    <t>Is processing limited to specified purposes with fresh consent for new purposes?</t>
  </si>
  <si>
    <t>Sec. 5(1), Rules 3, 8</t>
  </si>
  <si>
    <t>GOV-003c</t>
  </si>
  <si>
    <t>Data Minimisation</t>
  </si>
  <si>
    <t>Is data collection limited to what is necessary, with minimisation reviews?</t>
  </si>
  <si>
    <t>Sec. 5(1), Rule 8</t>
  </si>
  <si>
    <t>GOV-003d</t>
  </si>
  <si>
    <t>Accuracy</t>
  </si>
  <si>
    <t>Are data accuracy checks and correction mechanisms in place per Sec. 8(3)/Rule 14?</t>
  </si>
  <si>
    <t>GOV-003e</t>
  </si>
  <si>
    <t>Storage Limitation</t>
  </si>
  <si>
    <t>Are automated retention schedules with Rule 8 erasure timelines enforced?</t>
  </si>
  <si>
    <t>SEC-003</t>
  </si>
  <si>
    <t>Integrity &amp; Confidentiality</t>
  </si>
  <si>
    <t>Are encryption, access controls, and monitoring ensuring integrity/confidentiality?</t>
  </si>
  <si>
    <t>GOV-003f</t>
  </si>
  <si>
    <t>Accountability</t>
  </si>
  <si>
    <t>Can the organisation demonstrate compliance with all principles through documented evidence?</t>
  </si>
  <si>
    <t>Sec. 8(1), Rules 6-14</t>
  </si>
  <si>
    <t>CLB-001a</t>
  </si>
  <si>
    <t>Consent Basis</t>
  </si>
  <si>
    <t>Are consent mechanisms with CMP integration and 7-year record retention implemented?</t>
  </si>
  <si>
    <t>Sec. 6, Rules 3, 4</t>
  </si>
  <si>
    <t>CLB-001b</t>
  </si>
  <si>
    <t>Contract Basis</t>
  </si>
  <si>
    <t>Are contract-necessity assessments documented with Rule 6/8/14 compliance?</t>
  </si>
  <si>
    <t>Sec. 7(1)(a)</t>
  </si>
  <si>
    <t>CLB-001c</t>
  </si>
  <si>
    <t>Legal Obligation Basis</t>
  </si>
  <si>
    <t>Is a statutory obligations register mapping each activity to specific legal provisions?</t>
  </si>
  <si>
    <t>Sec. 7(1)(c)</t>
  </si>
  <si>
    <t>CLB-001d</t>
  </si>
  <si>
    <t>Vital Interests Basis</t>
  </si>
  <si>
    <t>Are emergency processing SOPs with post-event justification and transition defined?</t>
  </si>
  <si>
    <t>Sec. 7(1)(b)</t>
  </si>
  <si>
    <t>CLB-001e</t>
  </si>
  <si>
    <t>Public Interest Basis</t>
  </si>
  <si>
    <t>Is public interest processing limited to prescribed purposes with Rule 5 safeguards?</t>
  </si>
  <si>
    <t>Sec. 7(1)(d-e)</t>
  </si>
  <si>
    <t>CLB-001f</t>
  </si>
  <si>
    <t>Legitimate Interests Basis</t>
  </si>
  <si>
    <t>Are LIAs documented for GDPR-scope processing with DPDP dual-regime mapping?</t>
  </si>
  <si>
    <t>GDPR Art. 6(1)(f)</t>
  </si>
  <si>
    <t>GP-001</t>
  </si>
  <si>
    <t>Privacy Programme Mgmt</t>
  </si>
  <si>
    <t>Privacy Vision &amp; Strategy</t>
  </si>
  <si>
    <t>Is a Board-endorsed privacy strategy with DPDP phased milestones in place?</t>
  </si>
  <si>
    <t>Sec. 8(1), Rule 13</t>
  </si>
  <si>
    <t>GP-002</t>
  </si>
  <si>
    <t>Privacy Program Effectiveness</t>
  </si>
  <si>
    <t>Are privacy KPIs defined and program effectiveness measured against DPDP obligations?</t>
  </si>
  <si>
    <t>Sec. 8(1), Rules 6, 7, 13</t>
  </si>
  <si>
    <t>GP-003</t>
  </si>
  <si>
    <t>Reporting &amp; Communication</t>
  </si>
  <si>
    <t>Are internal/external privacy reports and DPB submissions produced on schedule?</t>
  </si>
  <si>
    <t>Sec. 8(1), Rules 7, 9, 13</t>
  </si>
  <si>
    <t>GP-004</t>
  </si>
  <si>
    <t>Privacy Awareness Program</t>
  </si>
  <si>
    <t>Is role-specific privacy training delivered on onboarding and annually?</t>
  </si>
  <si>
    <t>Sec. 8(1), Rules 3, 6, 14</t>
  </si>
  <si>
    <t>GP-005</t>
  </si>
  <si>
    <t>Privacy by Design Framework</t>
  </si>
  <si>
    <t>Is Privacy by Design integrated into SDLC with mandatory project gate sign-off?</t>
  </si>
  <si>
    <t>Sec. 4, Rules 6, 8, 13(2)(b)</t>
  </si>
  <si>
    <t>GOV-025</t>
  </si>
  <si>
    <t>Data Principal Duties</t>
  </si>
  <si>
    <t>Are Sec. 15 duties communicated with verification in complaint workflows?</t>
  </si>
  <si>
    <t>Sec. 15</t>
  </si>
  <si>
    <t>₹10,000</t>
  </si>
  <si>
    <t>GOV-026</t>
  </si>
  <si>
    <t>Enforcement &amp; Penalties Readiness</t>
  </si>
  <si>
    <t>Is a penalty risk register with enforcement readiness and DPB response procedures?</t>
  </si>
  <si>
    <t>Sec. 18-33, Schedule</t>
  </si>
  <si>
    <t>ASSESSMENT SUMMARY</t>
  </si>
  <si>
    <t>OVERALL READINESS</t>
  </si>
  <si>
    <t>Score</t>
  </si>
  <si>
    <t>Max</t>
  </si>
  <si>
    <t>Overall Maturity Score</t>
  </si>
  <si>
    <t>Critical Controls Score</t>
  </si>
  <si>
    <t>High Controls Score</t>
  </si>
  <si>
    <t>Medium Controls Score</t>
  </si>
  <si>
    <t>Low Controls Score</t>
  </si>
  <si>
    <t>CATEGORY BREAKDOWN</t>
  </si>
  <si>
    <t>Avg Maturity</t>
  </si>
  <si>
    <t>Controls</t>
  </si>
  <si>
    <t>Evidence Ready</t>
  </si>
  <si>
    <t>Turn #</t>
  </si>
  <si>
    <t>Date</t>
  </si>
  <si>
    <t>User Request</t>
  </si>
  <si>
    <t>Action Taken</t>
  </si>
  <si>
    <t>Details</t>
  </si>
  <si>
    <t>Outcome</t>
  </si>
  <si>
    <t>Integrate a 76-control DPDP compliance assessment matrix (with Control IDs, categories, priorities, maturity scores, evidence tracking, gap notes, DPDP sections, max penalties, and assessment summary) into the existing framework.</t>
  </si>
  <si>
    <t>Created new 'DPDP Assessment' sheet with all 76 controls and live summary formulas.</t>
  </si>
  <si>
    <t>Built sheet with: 76 controls in rows 4-79 with columns (#, Control ID, Category, Priority, Control Name, Key Assessment Question, Maturity 0-4, Evidence?, Gap/Notes, DPDP Section, Max Penalty). Assessment Summary in rows 81-103 with SUMPRODUCT/COUNTIF/AVERAGEIF formulas for Overall Readiness (by priority tier) and Category Breakdown (11 categories). Added data validation (0-4 dropdown for maturity, Yes/No for evidence), conditional formatting (priority-based row colors: red=Critical, orange=High, yellow=Medium, green=Low), borders, freeze panes on row 3. Pre-populated maturity scores: GOV-001=2, GOV-002=4, GOV-003=1, all others=0. All summary formulas verified: Overall 7/304 (2.3%), Critical 7/56 (12.5%).</t>
  </si>
  <si>
    <t>DPDP Assessment sheet created as 2nd tab. All 76 controls loaded, summary auto-calculates. Ready for maturity scoring by assessment teams.</t>
  </si>
  <si>
    <t>DPDP ACT 2023 — EXPRESS PACK SELF-ASSESSMENT TOOLKIT</t>
  </si>
  <si>
    <t>Universal Edition | 73 Controls | 12 Categories | Maturity Scale 0–4 | Score your organisation's DPDP readiness</t>
  </si>
  <si>
    <t>MATURITY SCALE:   0 = Not Started  |  1 = Ad-hoc / Informal  |  2 = Defined &amp; Documented  |  3 = Managed &amp; Monitored  |  4 = Optimised &amp; Continuous</t>
  </si>
  <si>
    <t>Has the organisation documented a lawful basis (consent or legitimate use) for each processing activity?</t>
  </si>
  <si>
    <t>Sec. 4, 5, 6, Rule 3</t>
  </si>
  <si>
    <t>Are standalone, plain-language privacy notices served at or before every data collection point?</t>
  </si>
  <si>
    <t>Are consent mechanisms compliant — free, specific, informed, unambiguous, and affirmative?</t>
  </si>
  <si>
    <t>Is a consent withdrawal mechanism available that is as easy as giving consent, with processing stopped upon withdrawal?</t>
  </si>
  <si>
    <t>Are notice templates version-controlled, published separately from T&amp;Cs, and retained with historical logs?</t>
  </si>
  <si>
    <t>Has the organisation prepared evidence for all Part A eligibility criteria for Consent Manager registration?</t>
  </si>
  <si>
    <t>Sec. 6(9), Rule 4</t>
  </si>
  <si>
    <t>Is verifiable compliance documentation maintained and aligned with actual operations for Board evaluation?</t>
  </si>
  <si>
    <t>Are secure, transparent consent lifecycle handling and audit-ready operational logs maintained?</t>
  </si>
  <si>
    <t>Is a continuous compliance assurance framework with quarterly internal control audits operational?</t>
  </si>
  <si>
    <t>Are business continuity, handover, and exit playbooks in place for consent record management?</t>
  </si>
  <si>
    <t>Is a central evidence and document repository with version-controlled policies and Board-response SOP maintained?</t>
  </si>
  <si>
    <t>Are ALL Rule 6 safeguards implemented: encryption, access controls, logging, backup, and monitoring?</t>
  </si>
  <si>
    <t>Are role-based, context-based, and least-privilege access controls with MFA and real-time monitoring enforced?</t>
  </si>
  <si>
    <t>Rule 6(b), 6(c)</t>
  </si>
  <si>
    <t>Are encrypted, integrity-verified backups maintained with documented BCP/DRP and quarterly restoration testing?</t>
  </si>
  <si>
    <t>Is a centralised, tamper-resistant logging system with real-time alerting and evidence-preservation in place?</t>
  </si>
  <si>
    <t>Are mandatory security clauses (encryption, monitoring, incident reporting, audit rights) in all processor contracts?</t>
  </si>
  <si>
    <t>Are continuous security assessments, penetration testing, SSDLC controls, and periodic training conducted?</t>
  </si>
  <si>
    <t>Is an immediate breach reporting SLA from processors contractually mandated with forensic evidence protocols?</t>
  </si>
  <si>
    <t>Sec. 8(6), Rule 7(1), 7(2)</t>
  </si>
  <si>
    <t>Is a documented breach assessment runbook activated to classify impacted data type, volume, and harm indicators?</t>
  </si>
  <si>
    <t>Sec. 8(6), Rule 7(1)(a-e), 7(2)(a)</t>
  </si>
  <si>
    <t>Are pre-approved notification templates used with verified communication channels and delivery proof retained?</t>
  </si>
  <si>
    <t>Sec. 8(6), Rule 7(1)(a-e)</t>
  </si>
  <si>
    <t>Is a pre-approved regulatory reporting template used with authorised sign-off and timestamped submission?</t>
  </si>
  <si>
    <t>Sec. 8(6), Rule 7(2)(a)</t>
  </si>
  <si>
    <t>Are complete event timelines, forensics evidence, RCA, and corrective action plans submitted to the Board within 72 hours?</t>
  </si>
  <si>
    <t>Sec. 8(6), Rule 7(2)(b)</t>
  </si>
  <si>
    <t>Is tamper-resistant preservation of all incident artefacts maintained with immutability controls?</t>
  </si>
  <si>
    <t>Has the organisation confirmed its classification under Third Schedule with documented assessment?</t>
  </si>
  <si>
    <t>Are objective last-interaction timestamps and purpose-specific retention timers configured?</t>
  </si>
  <si>
    <t>Is a verifiable 48-hour pre-erasure notice mechanism with non-extendable retention timers implemented?</t>
  </si>
  <si>
    <t>Minimum One-Year Statutory Retention</t>
  </si>
  <si>
    <t>Is a central retention register with minimum 1-year statutory retention and controlled deletion maintained?</t>
  </si>
  <si>
    <t>Sec. 8(5), Rule 8(3)</t>
  </si>
  <si>
    <t>Final Erasure Execution</t>
  </si>
  <si>
    <t>Are controlled erasure workflows with tamper-proof audit evidence and processor deletion proof implemented?</t>
  </si>
  <si>
    <t>Sec. 8(5), 12(3), Rule 8</t>
  </si>
  <si>
    <t>Are full security safeguards applied consistently across live, archived, dormant, backup, and pre-erasure environments?</t>
  </si>
  <si>
    <t>Is the breach-response SOP extended to cover archived, inactive, dormant, and backup environments?</t>
  </si>
  <si>
    <t>Sec. 8(5), Rule 7</t>
  </si>
  <si>
    <t>Is a single official and monitored contact point published in mandatory visibility zones?</t>
  </si>
  <si>
    <t>Sec. 8(9), Rule 9</t>
  </si>
  <si>
    <t>Has the organisation assessed its DPO appointment obligation and published the required contact details?</t>
  </si>
  <si>
    <t>Sec. 10(2), Rule 9</t>
  </si>
  <si>
    <t>Children &amp; Exemptions</t>
  </si>
  <si>
    <t>Is a class-eligibility mapping documented with necessity/proportionality evidence and periodic review?</t>
  </si>
  <si>
    <t>Sec. 9(4), 12(2)</t>
  </si>
  <si>
    <t>Are purpose-matching tests conducted with statutory basis documentation and periodic re-validation?</t>
  </si>
  <si>
    <t>Are child-specific hardened controls (encryption, segregated repos, MFA, tamper-resistant logs) implemented?</t>
  </si>
  <si>
    <t>Sec. 8(5), Rule 10</t>
  </si>
  <si>
    <t>Exception Based on Class — Healthcare</t>
  </si>
  <si>
    <t>Is documented evidence establishing correct classification under Fourth Schedule Part-A maintained?</t>
  </si>
  <si>
    <t>Sec. 9(4), 12(1)</t>
  </si>
  <si>
    <t>CD-05</t>
  </si>
  <si>
    <t>Exception Based on Purpose (Part B)</t>
  </si>
  <si>
    <t>Are purpose-match verifications conducted with least-data design and prohibition on secondary use?</t>
  </si>
  <si>
    <t>CD-06</t>
  </si>
  <si>
    <t>Exemption A1 – Clinical / Mental Health</t>
  </si>
  <si>
    <t>Are clinical licence documents validated with written clinical justification and minimum-necessary access?</t>
  </si>
  <si>
    <t>CD-07</t>
  </si>
  <si>
    <t>Is written evidence of referral or clinician-authorised treatment plans maintained with minimum data access?</t>
  </si>
  <si>
    <t>CD-08</t>
  </si>
  <si>
    <t>Is strict purpose-locking enforced for educational-activity or safety-interest with minimum-data capture?</t>
  </si>
  <si>
    <t>CD-09</t>
  </si>
  <si>
    <t>Is exclusive safety-use purpose applied with data minimisation and automatic deletion windows?</t>
  </si>
  <si>
    <t>CD-10</t>
  </si>
  <si>
    <t>Is tracking activated only during active transit with automatic termination and deletion on trip closure?</t>
  </si>
  <si>
    <t>CD-11</t>
  </si>
  <si>
    <t>Exemption B2 – Subsidy / Public Funds</t>
  </si>
  <si>
    <t>Is processing limited to eligibility verification and disbursement with no profiling or cross-scheme sharing?</t>
  </si>
  <si>
    <t>CD-12</t>
  </si>
  <si>
    <t>Exemption B3 – Email Account</t>
  </si>
  <si>
    <t>Is processing limited to account creation, login, and security functions with no profiling or monetisation?</t>
  </si>
  <si>
    <t>CD-13</t>
  </si>
  <si>
    <t>Exemption B4 – Real-Time Location Safety</t>
  </si>
  <si>
    <t>Is location collection restricted to live, real-time only with auto-termination and no history storage?</t>
  </si>
  <si>
    <t>CD-14</t>
  </si>
  <si>
    <t>Exemption B5 – Preventing Harmful Content</t>
  </si>
  <si>
    <t>Are system-level content blocking controls implemented with no user-level targeting or behavioural analysis?</t>
  </si>
  <si>
    <t>CD-15</t>
  </si>
  <si>
    <t>Exemption B6 – Age Confirmation (Rule 10)</t>
  </si>
  <si>
    <t>Is age-confirmation processing limited to workflow completion with immediate artefact deletion?</t>
  </si>
  <si>
    <t>CD-16</t>
  </si>
  <si>
    <t>Exemption B6 – Age Confirmation Due Diligence</t>
  </si>
  <si>
    <t>Is verification data used only for age confirmation with immediate deletion and no reuse across services?</t>
  </si>
  <si>
    <t>Is a Board-approved DPO appointed with documented reporting line, governance mandate, and published contact?</t>
  </si>
  <si>
    <t>Sec. 10(1), Rule 13</t>
  </si>
  <si>
    <t>Is an independent data auditor engaged with defined audit calendar, scope, methodology, and deliverables?</t>
  </si>
  <si>
    <t>Sec. 10(1), Rule 13(1-2)</t>
  </si>
  <si>
    <t>Is an annual DPIA calendar established with an approved framework applied and findings placed before the Board?</t>
  </si>
  <si>
    <t>Sec. 10(2)(c)(i), Rule 13(1)</t>
  </si>
  <si>
    <t>Is an audit findings register maintained with remediation tracking, closure SLAs, and Board-accepted auditors?</t>
  </si>
  <si>
    <t>Sec. 10(2)(c)(ii), Rule 13(1)</t>
  </si>
  <si>
    <t>Are final DPIA and audit reports prepared in Board-approved format with timestamped submission records?</t>
  </si>
  <si>
    <t>Are algorithmic/systemic risk assessments conducted with model explainability and pre-production testing?</t>
  </si>
  <si>
    <t>Sec. 8(5), Rule 13(3)</t>
  </si>
  <si>
    <t>Data + Traffic Flow Localisation</t>
  </si>
  <si>
    <t>Is an updated data-flow register maintained with in-India hosting, geo-blocking, and localisation controls?</t>
  </si>
  <si>
    <t>Rule 13(4-5)</t>
  </si>
  <si>
    <t>Rights Request Enablement &amp; Publishing</t>
  </si>
  <si>
    <t>Are rights request submission methods published on website/app with clear identifiers and validation steps?</t>
  </si>
  <si>
    <t>Sec. 11-14, Rule 14(1)</t>
  </si>
  <si>
    <t>Is a single controlled intake mechanism used for all rights requests with timestamped capture?</t>
  </si>
  <si>
    <t>Sec. 11(1), Rule 14(2)</t>
  </si>
  <si>
    <t>Is an authoritative identifier registry maintained with mandatory identity verification before processing requests?</t>
  </si>
  <si>
    <t>Sec. 11, Rule 14(1)(b)</t>
  </si>
  <si>
    <t>Are standardised, machine-readable access reports issued including data categories, purpose, and retention status?</t>
  </si>
  <si>
    <t>Sec. 11(1)(a-c), Rule 14</t>
  </si>
  <si>
    <t>Are digital correction/erasure request channels available with cross-system synchronisation and evidence logs?</t>
  </si>
  <si>
    <t>Sec. 12(1-3), Rule 14</t>
  </si>
  <si>
    <t>Is a grievance redress system operational with accessible channels, published workflow, and ≤90 day closure SLA?</t>
  </si>
  <si>
    <t>Sec. 13(1-3), Rule 14(3)</t>
  </si>
  <si>
    <t>Is a secure digital nomination interface provided with tamper-proof records and activation protocol?</t>
  </si>
  <si>
    <t>Sec. 14(1-2), Rule 14(4)</t>
  </si>
  <si>
    <t>Publishing Time-Bound Grievance Response</t>
  </si>
  <si>
    <t>Is a grievance channel with SLA prominently displayed with auto-acknowledge ticket and reference ID?</t>
  </si>
  <si>
    <t>Sec. 13, Rule 14(3)</t>
  </si>
  <si>
    <t>Is a cross-border data transfer policy maintained with destination country assessment and safeguard controls?</t>
  </si>
  <si>
    <t>Sec. 16(1), Rule 15</t>
  </si>
  <si>
    <t>Are multi-layer legal compatibility tests enforced for all cross-border transfers with sector-specific compliance?</t>
  </si>
  <si>
    <t>Is an eligibility assessment checklist completed with written exemption justification and privacy/legal approval?</t>
  </si>
  <si>
    <t>Sec. 17(2)(b), Rule 16</t>
  </si>
  <si>
    <t>Is a written legal basis note maintained with confirmation of no commercial repurposing?</t>
  </si>
  <si>
    <t>Is a data minimisation matrix used with masking, tokenisation, or sampling applied where feasible?</t>
  </si>
  <si>
    <t>RA-04</t>
  </si>
  <si>
    <t>Are data validation and de-duplication rulesets implemented with quality exception logging?</t>
  </si>
  <si>
    <t>RA-05</t>
  </si>
  <si>
    <t>Are retention periods defined at project start with auto-purge and deletion certificate workflows?</t>
  </si>
  <si>
    <t>RA-06</t>
  </si>
  <si>
    <t>Is data stored in a segregated research zone with RBAC, MFA, encryption, logging, and export controls?</t>
  </si>
  <si>
    <t>RA-07</t>
  </si>
  <si>
    <t>Are Research Data Owner and Data Steward roles assigned with a full compliance evidence repository?</t>
  </si>
  <si>
    <t>Is a Regulatory Request Handling SOP maintained with authority verification and secure, logged transmission?</t>
  </si>
  <si>
    <t>Sec. 36, Rule 23</t>
  </si>
  <si>
    <t>User provided a detailed prompt template for creating an 'EP - Self Assessment' sheet with specific formatting (Aptos Narrow font, maturity color scale, priority badges, assessment summary). Asked to build it using this workbook's existing data from Assessment + Implementation sheet.</t>
  </si>
  <si>
    <t>Created 'EP - Self Assessment' sheet with 73 controls sourced from the Assessment + Implementation sheet (74 items, minus missing Sr. 72). Applied all prompt specifications.</t>
  </si>
  <si>
    <t>Built with: (1) 3 merged header rows (title, subtitle, maturity scale legend) in dark navy/light gray; (2) 73 data rows (A5:K77) using Control IDs from RACI Matrix (CN-01..GR-01), 12 categories, priority-coded cells (red/orange/amber/green badges), maturity 0-4 with conditional color scale (dark orange→light yellow), Evidence Yes/No dropdown; (3) Overall Readiness summary (rows 81-86) with SUMPRODUCT formulas by priority tier; (4) Category Breakdown (rows 89-101) with AVERAGEIF/COUNTIF/COUNTIFS for 12 categories. Freeze panes at C5 (row 4 + col B frozen). Aptos Narrow font throughout. Alternating row colors #F5F7FA/#FFFFFF.</t>
  </si>
  <si>
    <t>EP - Self Assessment sheet created as 3rd tab. 73 controls with full formatting per prompt spec. All summary formulas verified. Ready for maturity scoring.</t>
  </si>
  <si>
    <t>Critical Controls</t>
  </si>
  <si>
    <t>High Controls</t>
  </si>
  <si>
    <t>Medium Controls</t>
  </si>
  <si>
    <t>Low Controls</t>
  </si>
  <si>
    <t>User identified overlap between 3 sheets doing the same thing (DPDP Assessment, EP - Self Assessment, Assessment + Implementation). Asked for consolidation recommendations.</t>
  </si>
  <si>
    <t>Audited all sheets, identified triple-assessment overlap, recommended and executed consolidation: enhanced Assessment + Implementation as single master, hid redundant sheets.</t>
  </si>
  <si>
    <t>Audit found: A+I (73 items, full assessment+implementation+evidence), DPDP Assessment (76 controls, maturity only), EP (73 controls, maturity only) all assessed the same DPDP controls differently. Resolution: (1) Inserted 5 new columns into A+I (Control ID, Category, Priority, DPDP Section, Max Penalty) at cols B-F using RACI Matrix control ID scheme (CN-01, SS-01 etc.); (2) Added priority conditional formatting (red/orange/amber/green); (3) Built Assessment Summary section (rows 79-101) with Overall Readiness by priority tier + Category Breakdown (12 categories) using SUMPRODUCT/AVERAGEIF referencing Maturity Level col L; (4) Updated freeze panes to A-E frozen; (5) Hid DPDP Assessment sheet; EP was already hidden. Dashboard still needs wiring to pull from A+I.</t>
  </si>
  <si>
    <t>Assessment + Implementation is now the single master with 25 columns (A-Y). Both DPDP Assessment and EP - Self Assessment are hidden. Control IDs match RACI Matrix. Summary auto-calculates. Dashboard connection still pending.</t>
  </si>
  <si>
    <t>DPDP COMPLIANCE DASHBOARD</t>
  </si>
  <si>
    <t>Programme Status Overview  |  73 Controls  |  12 Categories  |  DPDP Act 2023 &amp; Rules 2025</t>
  </si>
  <si>
    <t>COMPLIANCE RATE</t>
  </si>
  <si>
    <t>IMPLEMENTATION RATE</t>
  </si>
  <si>
    <t>EVIDENCE READINESS</t>
  </si>
  <si>
    <t>MATURITY SCORE</t>
  </si>
  <si>
    <t>CRITICAL GAPS</t>
  </si>
  <si>
    <t>Compliant / 73</t>
  </si>
  <si>
    <t>Implemented + Verified / 73</t>
  </si>
  <si>
    <t>Validated + Audit-Ready / 73</t>
  </si>
  <si>
    <t>Avg Maturity L0–L4 / Max</t>
  </si>
  <si>
    <t>Priority Critical not Compliant</t>
  </si>
  <si>
    <t>ASSESSMENT STATUS DISTRIBUTION</t>
  </si>
  <si>
    <t>Blank</t>
  </si>
  <si>
    <t>IMPLEMENTATION STATUS DISTRIBUTION</t>
  </si>
  <si>
    <t>PRIORITY DISTRIBUTION</t>
  </si>
  <si>
    <t>Assessed Risk Gaps</t>
  </si>
  <si>
    <t>CATEGORY MATURITY OVERVIEW</t>
  </si>
  <si>
    <t>WHAT:  For each of the 73 compliance items, evaluate your current state using the Assessment Area columns (K–O). Set Assessment Status (Compliant / Partially Compliant / Non-Compliant / Not Assessed / Not Applicable). Set Maturity Level (L0–L4). Flag gaps in Column M. Describe each gap in Column N. Assign a Risk Rating (Critical / High / Medium / Low) in Column O based on enforcement exposure and operational impact.</t>
  </si>
  <si>
    <t>WHAT:  For every item where Assessment Status is Non-Compliant or Partially Compliant, complete the Implementation Area columns (P–U). Set Implementation Status. Assign Accountable Owner (by name, not just function — cross-reference the RACI Matrix). Set Target Date. Write a specific Action Plan in Column S describing what needs to be built, configured, documented, or procured. Estimate budget in Column T. Set initial % Complete.</t>
  </si>
  <si>
    <t>WHAT:  For each compliance item, populate the Governance columns (V–Y): set Evidence Status (Not Collected through Audit-Ready), record evidence artefact location (document IDs, repository links, system references) in Column W, set review cadence in Column X, and capture reviewer observations in Column Y. Establish a recurring governance rhythm: weekly implementation standups, monthly compliance reviews, quarterly board reporting using the Dashboard.</t>
  </si>
  <si>
    <t>OPERATIONAL ENGINE. Enhanced with Control IDs, Categories (12 domains), Priority tiers (Critical/High/Medium/Low), DPDP Section references, and Max Penalty exposure. Assessment Area (cols K–O) captures current-state maturity. Implementation Area (cols P–U) drives remediation. Governance &amp; Evidence (cols V–Y) tracks artefacts. Built-in Assessment Summary auto-calculates readiness by priority and category.</t>
  </si>
  <si>
    <t>73 primary compliance obligations across 12 categories with Control IDs, Priority tiers, DPDP Section mapping, and Penalty exposure (Assessment + Implementation)  +  340 granular implementation-level controls (Granular Controls)  +  55+ RACI-mapped control responsibilities  +  26-question Express Evaluation for applicability determination  +  Live Compliance Dashboard with formula-driven KPIs pulling from the master tracker  +  Framework Guide with maturity model, lifecycle definitions, and BU bifurcation rules.</t>
  </si>
  <si>
    <t>The single master compliance tracker. Control Identification (cols A–J): Sr. No., Control ID, Category (12 domains), Priority (Critical/High/Medium/Low), DPDP Section, Max Penalty, Reference, Role, Compliance Header, and Compliance Measures. Assessment Area (cols K–O): Assessment Status, Maturity Level (L0–L4), Gap Identified, Gap Description, Risk Rating. Implementation Area (cols P–U): Impl. Status, Accountable Owner, Target Date, Action Plan, Budget Est., % Complete. Governance &amp; Evidence (cols V–Y): Evidence Status, Evidence Artefact/Location, Last Review Date, Reviewer Comments. Built-in Assessment Summary (rows 79–101) auto-calculates readiness scores. All Dashboard KPIs pull live from this sheet.</t>
  </si>
  <si>
    <t>User requested alignment of ReadMe, Framework Guide, and Compliance Dashboard with the enhanced A+I sheet. Workbook is being prepared as a senior-level work sample — needs to be crisp and polished.</t>
  </si>
  <si>
    <t>Rebuilt Compliance Dashboard from scratch, updated ReadMe column references, updated Framework Guide A+I description.</t>
  </si>
  <si>
    <t>Dashboard: (1) 5 KPI scorecards at top (Compliance Rate %, Implementation Rate %, Evidence Readiness %, Maturity Score %, Critical Gaps) with large 22pt numbers; (2) Assessment Status Distribution (6 statuses incl. Blank count); (3) Implementation Status Distribution (6 lifecycle stages); (4) Priority Distribution with color-coded badges; (5) Category Maturity Overview with 12 categories showing Controls, Avg Maturity, Compliant, Non-Compliant, Evidence Ready. All formulas reference A+I cols K (Assessment Status), L (Maturity), O (Risk Rating), P (Impl Status), V (Evidence Status), C (Category), D (Priority). ReadMe: Updated Step 3 refs F–J → K–O, Step 4 refs K–P → P–U, Step 6 refs Q–T → V–Y. Updated Scope &amp; Coverage and architecture description for A+I. Framework Guide: Rewrote A+I entry with all 25 columns documented.</t>
  </si>
  <si>
    <t>All 3 sheets aligned. Dashboard is fully live with formulas. ReadMe column references corrected. Framework Guide reflects enhanced A+I structure. All currently show baseline state (73 blank, 0 assessed). Ready for senior sharing.</t>
  </si>
  <si>
    <t>User asked if workbook is ready to share as a C-suite work sample.</t>
  </si>
  <si>
    <t>Final review and polish pass: hid Claude Log, reordered all tabs for executive flow.</t>
  </si>
  <si>
    <t>Issues found &amp; fixed: (1) Claude Log was visible as first tab — hidden. (2) Tab order was wrong (Framework Guide before Express Eval, Dashboard last) — reordered to: ReadMe → Express Evaluation → RACI Matrix → Assessment + Implementation → Granular Controls → Compliance Dashboard → Framework Guide. (3) All formulas verified: Dashboard KPIs correct (7 Critical Gaps, 73 Blank, category counts sum to 73, priority 7+22+20+24=73). All cross-sheet references intact. ReadMe column refs updated. Framework Guide description current.</t>
  </si>
  <si>
    <t>Workbook is C-suite ready. 7 visible tabs in logical flow. 3 sheets hidden (Claude Log, EP - Self Assessment, DPDP Assessment). All formulas live. Clean baseline state awaiting assessment input.</t>
  </si>
  <si>
    <t>Yes</t>
  </si>
  <si>
    <t>Legal basis register exists for 60% of processing activities. New product lines (launched Q4 2025) not yet mapped. No governance workflow for purpose changes.</t>
  </si>
  <si>
    <t>Head of Legal</t>
  </si>
  <si>
    <t>Complete processing inventory for new product lines. Deploy purpose-change approval workflow in GRC tool. Train product teams on legal basis classification.</t>
  </si>
  <si>
    <t>Collected</t>
  </si>
  <si>
    <t>Legal Basis Register v2.3 — SharePoint/Privacy/LegalBasis/</t>
  </si>
  <si>
    <t>Register needs expansion to cover 3 new product lines. Workflow tool RFP in progress.</t>
  </si>
  <si>
    <t>Consent captured via pre-ticked checkboxes on legacy web forms. No consent evidence log. Consent reused across purposes without re-consent.</t>
  </si>
  <si>
    <t>Head of Product</t>
  </si>
  <si>
    <t>Replace pre-ticked checkboxes with explicit opt-in. Deploy consent SDK with granular purpose selection. Build consent evidence log (DP ID, timestamp, version, purpose, method).</t>
  </si>
  <si>
    <t>Not Collected</t>
  </si>
  <si>
    <t>Legacy forms require complete rebuild. SDK vendor shortlisted.</t>
  </si>
  <si>
    <t>Encryption at rest implemented (AES-256). MFA enforced for privileged access. Gaps: no centralised log retention policy, backup restoration testing not quarterly, processor security clauses incomplete in 4 of 12 contracts.</t>
  </si>
  <si>
    <t>CISO</t>
  </si>
  <si>
    <t>Implement centralised SIEM with 1-year log retention. Schedule quarterly backup restoration drills. Amend 4 processor contracts to include Rule 6 security clauses.</t>
  </si>
  <si>
    <t>SIEM Config Docs — Confluence/Security/SIEM; Encryption Audit Report Feb 2026</t>
  </si>
  <si>
    <t>SIEM deployment 60% complete. Processor contract amendments drafted, pending legal review.</t>
  </si>
  <si>
    <t>No documented breach response playbook. Processor contracts lack breach reporting SLAs. No forensic evidence chain-of-custody protocol. Ad-hoc incident handling only.</t>
  </si>
  <si>
    <t>Develop breach response playbook aligned to Rule 7. Mandate 2-hour processor breach reporting SLA in all contracts. Establish forensic evidence preservation protocol. Conduct tabletop simulation.</t>
  </si>
  <si>
    <t>Critical gap. Board briefed. Playbook development starting March 2026.</t>
  </si>
  <si>
    <t>Head of IT</t>
  </si>
  <si>
    <t>Central retention register deployed. Minimum 1-year retention enforced across all systems. Processor contracts updated with retention clauses.</t>
  </si>
  <si>
    <t>Validated</t>
  </si>
  <si>
    <t>Retention Register v1.0 — GRC Platform; Processor Contract Addendums — Legal/Contracts/</t>
  </si>
  <si>
    <t>Fully implemented and validated by internal audit Jan 2026.</t>
  </si>
  <si>
    <t>DPO</t>
  </si>
  <si>
    <t>Dedicated privacy contact published on website footer, app settings, and all privacy notices. Monthly reachability audit in place.</t>
  </si>
  <si>
    <t>Audit-Ready</t>
  </si>
  <si>
    <t>Website Footer Screenshot Dec 2025; App Settings Screenshot; Privacy Notice v3.1 — SharePoint/Privacy/</t>
  </si>
  <si>
    <t>Verified by external auditor. No findings.</t>
  </si>
  <si>
    <t>No age-verification mechanism. No child-specific data segregation. Standard security controls applied uniformly — no hardened child-data protections. No parental consent workflow.</t>
  </si>
  <si>
    <t>Implement age-gate with Rule 10 verification. Build parental consent workflow. Segregate child data repositories with enhanced encryption and MFA. Deploy tamper-resistant audit logs.</t>
  </si>
  <si>
    <t>₹200 Cr penalty exposure. Requires significant product and infrastructure changes. Board approval needed for budget.</t>
  </si>
  <si>
    <t>Organisation not notified as SDF by Central Government. Monitoring notification status. Pre-positioning resources as precautionary measure.</t>
  </si>
  <si>
    <t>Monitoring CG notifications. Internal readiness assessment completed. DPO appointment framework documented for activation if/when notified.</t>
  </si>
  <si>
    <t>SDF Readiness Assessment Memo — SharePoint/Privacy/SDF/</t>
  </si>
  <si>
    <t>Not currently applicable. Re-assess quarterly.</t>
  </si>
  <si>
    <t>Rights request form exists on website but not in mobile app. Identifier validation is manual. No SLA tracking. Publication does not include all Rule 14 elements.</t>
  </si>
  <si>
    <t>Extend rights request portal to mobile app. Automate identity verification. Implement SLA tracking dashboard. Update published information to include all Rule 14(1) elements.</t>
  </si>
  <si>
    <t>Rights Portal Screenshots; Current SOP — SharePoint/Privacy/Rights/</t>
  </si>
  <si>
    <t>Web portal functional. Mobile app integration in sprint planning.</t>
  </si>
  <si>
    <t>Cross-border transfer policy drafted but not approved. Data flow mapping incomplete — 3 of 7 processors with overseas operations not yet assessed. No whitelist/blacklist controls in systems.</t>
  </si>
  <si>
    <t>Complete data flow mapping for all 7 overseas processors. Finalise and Board-approve cross-border transfer policy. Implement system-level geo-blocking controls. Conduct destination country adequacy assessments.</t>
  </si>
  <si>
    <t>Policy draft with Legal. Data flow mapping 40% complete.</t>
  </si>
  <si>
    <t>Status</t>
  </si>
  <si>
    <t>Count</t>
  </si>
  <si>
    <t>Not Yet Assessed</t>
  </si>
  <si>
    <t>User asked for honest C-suite evaluation. Followed up requesting both sample data and Dashboard charts before sharing.</t>
  </si>
  <si>
    <t>Provided critical C-suite lens review. Filled 10 controls with realistic sample data across 8 categories. Added 2 charts to Dashboard (doughnut + bar).</t>
  </si>
  <si>
    <t>Sample data: 10 controls filled with realistic scenario (mid-size Indian tech co, DF not SDF). Mix: 2 Compliant (RE-04, CP-01), 4 Partially Compliant (CN-01, SS-01, DPR-01, CBT-01), 3 Non-Compliant (CN-03, BN-01, CD-01), 1 N/A (SDF-01). Each has maturity L0-L4, gap descriptions, owners, target dates, action plans, budgets, % complete, evidence status. Dashboard now shows live: 2.7% compliance, 5.1% maturity, 11 critical gaps. Charts: Assessment Status doughnut at H4, Category Maturity bar chart at H19. Helper data in H9:I14.</t>
  </si>
  <si>
    <t>Workbook now demonstrates both the framework structure AND its operational use. Dashboard has real numbers and visual charts. Ready for C-suite sharing.</t>
  </si>
  <si>
    <t>DEFINITIONS / GLOSSARY</t>
  </si>
  <si>
    <t>Statutory Reference</t>
  </si>
  <si>
    <t>The following definitions are drawn from Section 2 of the Digital Personal Data Protection Act, 2023 ("the Act") and Rule 2 of the Digital Personal Data Protection Rules, 2025 ("the Rules"). Terms not defined in the Rules carry the meanings assigned to them in the Act [Rule 2(2)]. Users should refer to the full text of Sec. 2 and Rule 2 for complete statutory language.</t>
  </si>
  <si>
    <t>Appellate Tribunal [Sec. 2(a)]</t>
  </si>
  <si>
    <t>Means the Telecom Disputes Settlement and Appellate Tribunal (TDSAT) established under Section 14 of the Telecom Regulatory Authority of India Act, 1997. Hears appeals against orders of the Data Protection Board of India.</t>
  </si>
  <si>
    <t>Board [Sec. 2(c)]</t>
  </si>
  <si>
    <t>Means the Data Protection Board of India established by the Central Government under Section 18 of the Act. The Board adjudicates complaints, inquires into breaches, and imposes monetary penalties.</t>
  </si>
  <si>
    <t>Certain Legitimate Uses [Sec. 2(d)]</t>
  </si>
  <si>
    <t>Means the uses referred to in Section 7 of the Act, under which personal data may be processed without the Data Principal's consent (e.g., voluntary provision of data, State functions, compliance with law, medical emergencies, employment purposes).</t>
  </si>
  <si>
    <t>Child [Sec. 2(f)]</t>
  </si>
  <si>
    <t>Means an individual who has not completed the age of eighteen years. Verifiable parental or lawful guardian consent is required before processing a child's personal data (Sec. 9, Rules 10 &amp; 12).</t>
  </si>
  <si>
    <t>Consent [Sec. 6]</t>
  </si>
  <si>
    <t>Must be free, specific, informed, unconditional, and unambiguous with a clear affirmative action by the Data Principal. Consent shall be limited to such personal data as is necessary for the specified purpose. Any part of consent that infringes the Act or Rules is invalid to the extent of such infringement.</t>
  </si>
  <si>
    <t>Consent Manager [Sec. 2(g)]</t>
  </si>
  <si>
    <t>Means a person registered with the Board, who acts as a single point of contact to enable a Data Principal to give, manage, review and withdraw her consent through an accessible, transparent and interoperable platform (Rule 4 prescribes registration, eligibility and obligations).</t>
  </si>
  <si>
    <t>Data [Sec. 2(h)]</t>
  </si>
  <si>
    <t>Means a representation of information, facts, concepts, opinions or instructions in a manner suitable for communication, interpretation or processing by humans or by automated means.</t>
  </si>
  <si>
    <t>Data Fiduciary (DF) [Sec. 2(i)]</t>
  </si>
  <si>
    <t>Means any person who alone or in conjunction with other persons determines the purpose and means of processing of personal data. Analogous to "Data Controller" under GDPR. Bears primary compliance obligations under the Act.</t>
  </si>
  <si>
    <t>Data Principal (DP) [Sec. 2(j)]</t>
  </si>
  <si>
    <t>Means the individual to whom the personal data relates. Where such individual is (i) a child, includes the parents or lawful guardian of such child; (ii) a person with disability, includes her lawful guardian acting on her behalf.</t>
  </si>
  <si>
    <t>Data Processor [Sec. 2(k)]</t>
  </si>
  <si>
    <t>Means any person who processes personal data on behalf of a Data Fiduciary. The Data Fiduciary remains responsible for ensuring the Data Processor complies with the Act (Sec. 8(2)).</t>
  </si>
  <si>
    <t>Data Protection Officer (DPO) [Sec. 2(l)]</t>
  </si>
  <si>
    <t>Means an individual appointed by a Significant Data Fiduciary under Sec. 10(2)(a). Must be based in India, represent the SDF, and serve as the point of contact for the Board and Data Principals (Rule 9).</t>
  </si>
  <si>
    <t>Digital Personal Data [Sec. 2(n)]</t>
  </si>
  <si>
    <t>Means personal data in digital form. The Act applies to digital personal data collected within India (online or offline and subsequently digitised) and to processing outside India connected with offering goods or services to Data Principals in India (Sec. 3).</t>
  </si>
  <si>
    <t>Person [Sec. 2(s)]</t>
  </si>
  <si>
    <t>Includes an individual, Hindu Undivided Family, company, firm, association of persons or body of individuals (whether incorporated or not), the State, and every artificial juridical person.</t>
  </si>
  <si>
    <t>Personal Data [Sec. 2(t)]</t>
  </si>
  <si>
    <t>Means any data about an individual who is identifiable by or in relation to such data. Unlike GDPR, the Act does not create a separate category for "sensitive personal data" — all personal data is treated uniformly.</t>
  </si>
  <si>
    <t>Personal Data Breach [Sec. 2(u)]</t>
  </si>
  <si>
    <t>Means any unauthorised processing of personal data or accidental disclosure, acquisition, sharing, use, alteration, destruction or loss of access to personal data, that compromises the confidentiality, integrity or availability of personal data.</t>
  </si>
  <si>
    <t>Processing [Sec. 2(x)]</t>
  </si>
  <si>
    <t>In relation to personal data, means a wholly or partly automated operation or set of operations performed on digital personal data, and includes collection, recording, organisation, structuring, storage, adaptation, retrieval, use, alignment or combination, indexing, sharing, disclosure by transmission, dissemination or otherwise making available, restriction, erasure or destruction.</t>
  </si>
  <si>
    <t>Significant Data Fiduciary (SDF) [Sec. 2(z)]</t>
  </si>
  <si>
    <t>Means any Data Fiduciary or class of Data Fiduciaries as may be notified by the Central Government under Section 10, based on factors such as volume and sensitivity of data processed, risk to Data Principal rights, potential impact on sovereignty and integrity of India, risk to electoral democracy, and State security. SDFs have additional obligations including appointing a DPO, independent data auditor, and conducting DPIAs (Sec. 10, Rule 13).</t>
  </si>
  <si>
    <t>Specified Purpose [Sec. 2(za)]</t>
  </si>
  <si>
    <t>Means the purpose mentioned in the notice given by the Data Fiduciary to the Data Principal in accordance with the provisions of the Act and the Rules made thereunder. Data must be erased once the specified purpose is no longer served (Sec. 8(7), Rule 8).</t>
  </si>
  <si>
    <t>RULE 2 DEFINITIONS (DPDP Rules, 2025)</t>
  </si>
  <si>
    <t>Act [Rule 2(1)(a)]</t>
  </si>
  <si>
    <t>Means the Digital Personal Data Protection Act, 2023 (22 of 2023). All references to "the Act" in the Rules refer to this statute.</t>
  </si>
  <si>
    <t>Techno-Legal Measures [Rule 2(1)(b)]</t>
  </si>
  <si>
    <t>Means as referred to under Rules 20 and 22. These are the technical and procedural mechanisms the Data Protection Board and the Appellate Tribunal must adopt to function as digital offices (e.g., online filing, digital hearings, electronic case management).</t>
  </si>
  <si>
    <t>User Account [Rule 2(1)(c)]</t>
  </si>
  <si>
    <t>Means the online account registered by the Data Principal with the Data Fiduciary, and includes any profiles, pages, handles, email address, mobile number and other similar presences by means of which such Data Principal is able to access the services of such Data Fiduciary.</t>
  </si>
  <si>
    <t>Verifiable Consent [Rule 2(1)(d)]</t>
  </si>
  <si>
    <t>Means a consent as specified in Rule 10 (processing of personal data of a child) or Rule 11 (processing of personal data of a person with disability). Requires the Data Fiduciary to adopt appropriate technical and organisational measures to verify identity and age of the parent or lawful guardian.</t>
  </si>
  <si>
    <t>Residual Definitions [Rule 2(2)]</t>
  </si>
  <si>
    <t>The words and expressions used in the Rules and not defined therein, but defined in the Act, shall have the same meanings as respectively assigned to them in the Act. This ensures consistency between the Act and the Rules.</t>
  </si>
  <si>
    <t>ABBREVIATIONS USED IN THIS FRAMEWORK</t>
  </si>
  <si>
    <t>DF / SDF / CM / DP / DPO</t>
  </si>
  <si>
    <t>Data Fiduciary [Sec. 2(i)] / Significant Data Fiduciary [Sec. 2(z)] / Consent Manager [Sec. 2(g)] / Data Principal [Sec. 2(j)] / Data Protection Officer [Sec. 2(l)].</t>
  </si>
  <si>
    <t>DPIA / PD / BU</t>
  </si>
  <si>
    <t>Data Protection Impact Assessment [Sec. 10(2)(c)(i)] / Personal Data [Sec. 2(t)] / Business Unit (framework-specific designation for multi-BU organisations).</t>
  </si>
  <si>
    <t>The Act / The Rules / The Board</t>
  </si>
  <si>
    <t>The Digital Personal Data Protection Act, 2023 (No. 22 of 2023) / The Digital Personal Data Protection Rules, 2025 (G.S.R. 846(E), dated 13 November 2025) / The Data Protection Board of India [Sec. 2(c), Sec. 18].</t>
  </si>
  <si>
    <t>User requested insertion of a Definitions/Glossary section in Framework Guide, referencing Sec 2 of the DPDP Act, 2023 and Rule 2 of the DPDP Rules, 2025 with correct statutory verbiage.</t>
  </si>
  <si>
    <t>Created comprehensive Definitions/Glossary section in Framework Guide (rows 42-73) with three sub-sections: (1) Sec 2 Act definitions, (2) Rule 2 Rules definitions, (3) Abbreviations.</t>
  </si>
  <si>
    <t>Added 18 key definitions from Sec 2 of the Act (Appellate Tribunal, Board, Certain Legitimate Uses, Child, Consent, Consent Manager, Data, Data Fiduciary, Data Principal, Data Processor, DPO, Digital Personal Data, Person, Personal Data, Personal Data Breach, Processing, SDF, Specified Purpose) and 5 entries from Rule 2 of the Rules (Act, Techno-Legal Measures, User Account, Verifiable Consent, Residual Definitions). Added abbreviations decoder (DF/SDF/CM/DP/DPO, DPIA/PD/BU, The Act/Rules/Board). All definitions verified against official gazette text (indiankanoon.org, dpdpact2023.com, dpdpa.com). Matching formatting: navy headers, alternating row colors #EBF5FB/#FFFFFF, Arial 9pt, thin #BDC3C7 borders.</t>
  </si>
  <si>
    <t>Definitions/Glossary now live in Framework Guide rows 42-73. Three sub-sections with correct statutory clause references. Formatting matches existing guide style.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</si>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</sst>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8" x14ac:knownFonts="1">
    <font>
      <sz val="11"/>
      <color theme="1"/>
      <name val="Calibri"/>
      <family val="2"/>
      <charset val="1"/>
    </font>
    <font>
      <b/>
      <sz val="22"/>
      <color rgb="FF1B3A4B"/>
      <name val="Arial"/>
      <charset val="1"/>
    </font>
    <font>
      <b/>
      <sz val="11"/>
      <color rgb="FF2E86C1"/>
      <name val="Arial"/>
      <charset val="1"/>
    </font>
    <font>
      <b/>
      <sz val="13"/>
      <color rgb="FFFFFFFF"/>
      <name val="Arial"/>
      <charset val="1"/>
    </font>
    <font>
      <b/>
      <sz val="9.5"/>
      <color rgb="FF1B3A4B"/>
      <name val="Arial"/>
      <charset val="1"/>
    </font>
    <font>
      <sz val="9.5"/>
      <color rgb="FF2C3E50"/>
      <name val="Arial"/>
      <charset val="1"/>
    </font>
    <font>
      <i/>
      <sz val="9.5"/>
      <color rgb="FF566573"/>
      <name val="Arial"/>
      <charset val="1"/>
    </font>
    <font>
      <b/>
      <sz val="9.5"/>
      <color rgb="FFFFFFFF"/>
      <name val="Arial"/>
      <charset val="1"/>
    </font>
    <font>
      <sz val="9"/>
      <color rgb="FF2C3E50"/>
      <name val="Arial"/>
      <charset val="1"/>
    </font>
    <font>
      <sz val="9"/>
      <color rgb="FF1A5276"/>
      <name val="Arial"/>
      <charset val="1"/>
    </font>
    <font>
      <b/>
      <sz val="10"/>
      <color rgb="FF1B3A4B"/>
      <name val="Arial"/>
      <charset val="1"/>
    </font>
    <font>
      <i/>
      <sz val="9"/>
      <color rgb="FF2C3E50"/>
      <name val="Arial"/>
      <charset val="1"/>
    </font>
    <font>
      <b/>
      <sz val="14"/>
      <color rgb="FFFFFFFF"/>
      <name val="Arial"/>
      <charset val="1"/>
    </font>
    <font>
      <sz val="9"/>
      <color rgb="FF566573"/>
      <name val="Arial"/>
      <charset val="1"/>
    </font>
    <font>
      <b/>
      <sz val="9"/>
      <color rgb="FF1A5276"/>
      <name val="Arial"/>
      <charset val="1"/>
    </font>
    <font>
      <b/>
      <sz val="9"/>
      <color rgb="FFFFFFFF"/>
      <name val="Arial"/>
      <charset val="1"/>
    </font>
    <font>
      <b/>
      <sz val="9"/>
      <color rgb="FF1B3A4B"/>
      <name val="Arial"/>
      <charset val="1"/>
    </font>
    <font>
      <sz val="11"/>
      <color rgb="FFE74C3C"/>
      <name val="Arial"/>
      <charset val="1"/>
    </font>
    <font>
      <b/>
      <sz val="11"/>
      <color rgb="FFFFFFFF"/>
      <name val="Arial"/>
      <charset val="1"/>
    </font>
    <font>
      <b/>
      <sz val="16"/>
      <color rgb="FF1B3A4B"/>
      <name val="Arial"/>
      <charset val="1"/>
    </font>
    <font>
      <i/>
      <sz val="9"/>
      <color rgb="FF1A5276"/>
      <name val="Arial"/>
      <charset val="1"/>
    </font>
    <font>
      <b/>
      <sz val="10"/>
      <color rgb="FFFFFFFF"/>
      <name val="Arial"/>
      <charset val="1"/>
    </font>
    <font>
      <sz val="9"/>
      <name val="Arial"/>
      <charset val="1"/>
    </font>
    <font>
      <b/>
      <sz val="12"/>
      <color rgb="FF1B3A4B"/>
      <name val="Arial"/>
      <charset val="1"/>
    </font>
    <font>
      <b/>
      <sz val="9"/>
      <name val="Arial"/>
      <charset val="1"/>
    </font>
    <font>
      <b/>
      <sz val="14"/>
      <color rgb="FF1B3A4B"/>
      <name val="Arial"/>
      <charset val="1"/>
    </font>
    <font>
      <b/>
      <sz val="9"/>
      <color rgb="FF1E8449"/>
      <name val="Arial"/>
      <charset val="1"/>
    </font>
    <font>
      <sz val="9"/>
      <color rgb="FF935116"/>
      <name val="Arial"/>
      <charset val="1"/>
    </font>
    <font>
      <sz val="9"/>
      <color rgb="FF7F8C8D"/>
      <name val="Arial"/>
      <charset val="1"/>
    </font>
    <font>
      <b/>
      <sz val="14"/>
      <color rgb="FF1F4E79"/>
      <name val="Calibri"/>
    </font>
    <font>
      <i/>
      <sz val="10"/>
      <color rgb="FF4472C4"/>
      <name val="Calibri"/>
    </font>
    <font>
      <b/>
      <sz val="10"/>
      <color rgb="FFFFFFFF"/>
      <name val="Calibri"/>
    </font>
    <font>
      <b/>
      <sz val="13"/>
      <color rgb="FF1F4E79"/>
      <name val="Calibri"/>
    </font>
    <font>
      <b/>
      <sz val="11"/>
      <color rgb="FF1F4E79"/>
      <name val="Calibri"/>
    </font>
    <font>
      <sz val="10"/>
      <color theme="1"/>
      <name val="Calibri"/>
    </font>
    <font>
      <b/>
      <sz val="10"/>
      <color theme="1"/>
      <name val="Calibri"/>
    </font>
    <font>
      <sz val="11"/>
      <color theme="1"/>
      <name val="Calibri"/>
    </font>
    <font>
      <b/>
      <sz val="11"/>
      <color theme="1"/>
      <name val="Calibri"/>
    </font>
    <font>
      <b/>
      <sz val="10"/>
      <color rgb="FFC00000"/>
      <name val="Calibri"/>
    </font>
    <font>
      <b/>
      <sz val="11"/>
      <color rgb="FFC00000"/>
      <name val="Calibri"/>
    </font>
    <font>
      <b/>
      <sz val="10"/>
      <color rgb="FFED7D31"/>
      <name val="Calibri"/>
    </font>
    <font>
      <b/>
      <sz val="11"/>
      <color rgb="FFED7D31"/>
      <name val="Calibri"/>
    </font>
    <font>
      <b/>
      <sz val="10"/>
      <color rgb="FFFFC000"/>
      <name val="Calibri"/>
    </font>
    <font>
      <b/>
      <sz val="11"/>
      <color rgb="FFFFC000"/>
      <name val="Calibri"/>
    </font>
    <font>
      <b/>
      <sz val="10"/>
      <color rgb="FF70AD47"/>
      <name val="Calibri"/>
    </font>
    <font>
      <b/>
      <sz val="11"/>
      <color rgb="FF70AD47"/>
      <name val="Calibri"/>
    </font>
    <font>
      <b/>
      <sz val="11"/>
      <color rgb="FFFFFFFF"/>
      <name val="Calibri"/>
    </font>
    <font>
      <b/>
      <sz val="16"/>
      <color rgb="FFFFFFFF"/>
      <name val="Aptos Narrow"/>
    </font>
    <font>
      <i/>
      <sz val="10"/>
      <color rgb="FF666666"/>
      <name val="Aptos Narrow"/>
    </font>
    <font>
      <b/>
      <sz val="9"/>
      <color rgb="FF1B3A5C"/>
      <name val="Aptos Narrow"/>
    </font>
    <font>
      <b/>
      <sz val="10"/>
      <color rgb="FFFFFFFF"/>
      <name val="Aptos Narrow"/>
    </font>
    <font>
      <sz val="11"/>
      <color theme="1"/>
      <name val="Aptos Narrow"/>
    </font>
    <font>
      <b/>
      <sz val="11"/>
      <color rgb="FFFFFFFF"/>
      <name val="Aptos Narrow"/>
    </font>
    <font>
      <b/>
      <sz val="11"/>
      <color theme="1"/>
      <name val="Aptos Narrow"/>
    </font>
    <font>
      <b/>
      <sz val="12"/>
      <color theme="1"/>
      <name val="Aptos Narrow"/>
    </font>
    <font>
      <b/>
      <sz val="14"/>
      <color rgb="FFFFFFFF"/>
      <name val="Aptos Narrow"/>
    </font>
    <font>
      <b/>
      <sz val="11"/>
      <color rgb="FF1B3A5C"/>
      <name val="Aptos Narrow"/>
    </font>
    <font>
      <b/>
      <sz val="10"/>
      <color theme="1"/>
      <name val="Aptos Narrow"/>
    </font>
    <font>
      <b/>
      <sz val="10"/>
      <color rgb="FFFF4444"/>
      <name val="Aptos Narrow"/>
    </font>
    <font>
      <b/>
      <sz val="11"/>
      <color rgb="FFFF4444"/>
      <name val="Aptos Narrow"/>
    </font>
    <font>
      <b/>
      <sz val="10"/>
      <color rgb="FFFF8C00"/>
      <name val="Aptos Narrow"/>
    </font>
    <font>
      <b/>
      <sz val="11"/>
      <color rgb="FFFF8C00"/>
      <name val="Aptos Narrow"/>
    </font>
    <font>
      <b/>
      <sz val="10"/>
      <color rgb="FFFFC107"/>
      <name val="Aptos Narrow"/>
    </font>
    <font>
      <b/>
      <sz val="11"/>
      <color rgb="FFFFC107"/>
      <name val="Aptos Narrow"/>
    </font>
    <font>
      <b/>
      <sz val="10"/>
      <color rgb="FF28A745"/>
      <name val="Aptos Narrow"/>
    </font>
    <font>
      <b/>
      <sz val="11"/>
      <color rgb="FF28A745"/>
      <name val="Aptos Narrow"/>
    </font>
    <font>
      <b/>
      <sz val="10"/>
      <color rgb="FFFFFFFF"/>
      <name val="Arial"/>
    </font>
    <font>
      <sz val="9"/>
      <name val="Arial"/>
    </font>
    <font>
      <b/>
      <sz val="9"/>
      <color rgb="FFFFFFFF"/>
      <name val="Arial"/>
    </font>
    <font>
      <sz val="9"/>
      <color rgb="FF000000"/>
      <name val="Arial"/>
    </font>
    <font>
      <b/>
      <sz val="9"/>
      <color rgb="FF000000"/>
      <name val="Arial"/>
    </font>
    <font>
      <b/>
      <sz val="13"/>
      <color rgb="FFFFFFFF"/>
      <name val="Arial"/>
    </font>
    <font>
      <b/>
      <sz val="11"/>
      <color rgb="FF1B3A4B"/>
      <name val="Arial"/>
    </font>
    <font>
      <b/>
      <sz val="10"/>
      <color theme="1"/>
      <name val="Arial"/>
    </font>
    <font>
      <sz val="11"/>
      <color theme="1"/>
      <name val="Arial"/>
    </font>
    <font>
      <b/>
      <sz val="11"/>
      <color theme="1"/>
      <name val="Arial"/>
    </font>
    <font>
      <b/>
      <sz val="10"/>
      <color rgb="FFFF4444"/>
      <name val="Arial"/>
    </font>
    <font>
      <b/>
      <sz val="10"/>
      <color rgb="FFFF8C00"/>
      <name val="Arial"/>
    </font>
    <font>
      <b/>
      <sz val="10"/>
      <color rgb="FFFFC107"/>
      <name val="Arial"/>
    </font>
    <font>
      <b/>
      <sz val="10"/>
      <color rgb="FF28A745"/>
      <name val="Arial"/>
    </font>
    <font>
      <b/>
      <sz val="16"/>
      <color rgb="FFFFFFFF"/>
      <name val="Arial"/>
    </font>
    <font>
      <i/>
      <sz val="9"/>
      <color rgb="FF7F8C8D"/>
      <name val="Arial"/>
    </font>
    <font>
      <b/>
      <sz val="8"/>
      <color rgb="FF7F8C8D"/>
      <name val="Arial"/>
    </font>
    <font>
      <b/>
      <sz val="22"/>
      <color rgb="FF1B3A4B"/>
      <name val="Arial"/>
    </font>
    <font>
      <b/>
      <sz val="22"/>
      <color rgb="FFC0392B"/>
      <name val="Arial"/>
    </font>
    <font>
      <sz val="8"/>
      <color rgb="FF95A5A6"/>
      <name val="Arial"/>
    </font>
    <font>
      <b/>
      <sz val="14"/>
      <color theme="1"/>
      <name val="Arial"/>
    </font>
    <font>
      <b/>
      <sz val="14"/>
      <color rgb="FF27AE60"/>
      <name val="Arial"/>
    </font>
    <font>
      <b/>
      <sz val="14"/>
      <color rgb="FFF39C12"/>
      <name val="Arial"/>
    </font>
    <font>
      <b/>
      <sz val="14"/>
      <color rgb="FFE74C3C"/>
      <name val="Arial"/>
    </font>
    <font>
      <b/>
      <sz val="14"/>
      <color rgb="FF95A5A6"/>
      <name val="Arial"/>
    </font>
    <font>
      <b/>
      <sz val="14"/>
      <color rgb="FFBDC3C7"/>
      <name val="Arial"/>
    </font>
    <font>
      <b/>
      <sz val="14"/>
      <color rgb="FF2980B9"/>
      <name val="Arial"/>
    </font>
    <font>
      <b/>
      <sz val="14"/>
      <color rgb="FF8E44AD"/>
      <name val="Arial"/>
    </font>
    <font>
      <b/>
      <sz val="14"/>
      <color rgb="FF1E8449"/>
      <name val="Arial"/>
    </font>
    <font>
      <b/>
      <sz val="14"/>
      <color rgb="FFFF4444"/>
      <name val="Arial"/>
    </font>
    <font>
      <b/>
      <sz val="14"/>
      <color rgb="FFFF8C00"/>
      <name val="Arial"/>
    </font>
    <font>
      <b/>
      <sz val="14"/>
      <color rgb="FFFFC107"/>
      <name val="Arial"/>
    </font>
    <font>
      <b/>
      <sz val="14"/>
      <color rgb="FF28A745"/>
      <name val="Arial"/>
    </font>
    <font>
      <b/>
      <sz val="14"/>
      <color rgb="FFC0392B"/>
      <name val="Arial"/>
    </font>
    <font>
      <sz val="9"/>
      <color theme="1"/>
      <name val="Arial"/>
    </font>
    <font>
      <b/>
      <sz val="9"/>
      <color theme="1"/>
      <name val="Arial"/>
    </font>
    <font>
      <sz val="9"/>
      <color rgb="FF27AE60"/>
      <name val="Arial"/>
    </font>
    <font>
      <sz val="9"/>
      <color rgb="FFE74C3C"/>
      <name val="Arial"/>
    </font>
    <font>
      <b/>
      <sz val="8"/>
      <color rgb="FFBDC3C7"/>
      <name val="Calibri"/>
      <family val="2"/>
      <charset val="1"/>
    </font>
    <font>
      <sz val="8"/>
      <color rgb="FFBDC3C7"/>
      <name val="Calibri"/>
      <family val="2"/>
      <charset val="1"/>
    </font>
    <font>
      <b/>
      <sz val="11"/>
      <color rgb="FFFFFFFF"/>
      <name val="Arial"/>
    </font>
    <font>
      <i/>
      <sz val="9"/>
      <color rgb="FF000000"/>
      <name val="Arial"/>
    </font>
  </fonts>
  <fills count="40">
    <fill>
      <patternFill patternType="none"/>
    </fill>
    <fill>
      <patternFill patternType="gray125"/>
    </fill>
    <fill>
      <patternFill patternType="solid">
        <fgColor rgb="FF1B3A4B"/>
        <bgColor rgb="FF2C3E50"/>
      </patternFill>
    </fill>
    <fill>
      <patternFill patternType="solid">
        <fgColor rgb="FFEBF5FB"/>
        <bgColor rgb="FFF2F3F4"/>
      </patternFill>
    </fill>
    <fill>
      <patternFill patternType="solid">
        <fgColor rgb="FFF2F3F4"/>
        <bgColor rgb="FFEBF5FB"/>
      </patternFill>
    </fill>
    <fill>
      <patternFill patternType="solid">
        <fgColor rgb="FFE74C3C"/>
        <bgColor rgb="FFC0392B"/>
      </patternFill>
    </fill>
    <fill>
      <patternFill patternType="solid">
        <fgColor rgb="FFF39C12"/>
        <bgColor rgb="FFFFCC00"/>
      </patternFill>
    </fill>
    <fill>
      <patternFill patternType="solid">
        <fgColor rgb="FF27AE60"/>
        <bgColor rgb="FF1E8449"/>
      </patternFill>
    </fill>
    <fill>
      <patternFill patternType="solid">
        <fgColor rgb="FF2E86C1"/>
        <bgColor rgb="FF008080"/>
      </patternFill>
    </fill>
    <fill>
      <patternFill patternType="solid">
        <fgColor rgb="FF8E44AD"/>
        <bgColor rgb="FF566573"/>
      </patternFill>
    </fill>
    <fill>
      <patternFill patternType="solid">
        <fgColor rgb="FFD5F5E3"/>
        <bgColor rgb="FFD4EFDF"/>
      </patternFill>
    </fill>
    <fill>
      <patternFill patternType="solid">
        <fgColor rgb="FFFADBD8"/>
        <bgColor rgb="FFFDEBD0"/>
      </patternFill>
    </fill>
    <fill>
      <patternFill patternType="solid">
        <fgColor rgb="FF2C3E50"/>
        <bgColor rgb="FF1B3A4B"/>
      </patternFill>
    </fill>
    <fill>
      <patternFill patternType="solid">
        <fgColor rgb="FF1A5276"/>
        <bgColor rgb="FF2C3E50"/>
      </patternFill>
    </fill>
    <fill>
      <patternFill patternType="solid">
        <fgColor rgb="FF1E8449"/>
        <bgColor rgb="FF008080"/>
      </patternFill>
    </fill>
    <fill>
      <patternFill patternType="solid">
        <fgColor rgb="FF922B21"/>
        <bgColor rgb="FFC0392B"/>
      </patternFill>
    </fill>
    <fill>
      <patternFill patternType="solid">
        <fgColor rgb="FFD4EFDF"/>
        <bgColor rgb="FFD5F5E3"/>
      </patternFill>
    </fill>
    <fill>
      <patternFill patternType="solid">
        <fgColor rgb="FFFDEBD0"/>
        <bgColor rgb="FFFADBD8"/>
      </patternFill>
    </fill>
    <fill>
      <patternFill patternType="solid">
        <fgColor rgb="FFD6EAF8"/>
        <bgColor rgb="FFD4EFDF"/>
      </patternFill>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EBF5FB"/>
        <bgColor indexed="64"/>
      </patternFill>
    </fill>
    <fill>
      <patternFill patternType="solid">
        <fgColor rgb="FF1B3A5C"/>
        <bgColor indexed="64"/>
      </patternFill>
    </fill>
    <fill>
      <patternFill patternType="solid">
        <fgColor rgb="FFE8EDF2"/>
        <bgColor indexed="64"/>
      </patternFill>
    </fill>
    <fill>
      <patternFill patternType="solid">
        <fgColor rgb="FFF5F7FA"/>
        <bgColor indexed="64"/>
      </patternFill>
    </fill>
    <fill>
      <patternFill patternType="solid">
        <fgColor rgb="FFFFFFFF"/>
        <bgColor indexed="64"/>
      </patternFill>
    </fill>
    <fill>
      <patternFill patternType="solid">
        <fgColor rgb="FFFF4444"/>
        <bgColor indexed="64"/>
      </patternFill>
    </fill>
    <fill>
      <patternFill patternType="solid">
        <fgColor rgb="FFFF8C00"/>
        <bgColor indexed="64"/>
      </patternFill>
    </fill>
    <fill>
      <patternFill patternType="solid">
        <fgColor rgb="FFFFC107"/>
        <bgColor indexed="64"/>
      </patternFill>
    </fill>
    <fill>
      <patternFill patternType="solid">
        <fgColor rgb="FF28A745"/>
        <bgColor indexed="64"/>
      </patternFill>
    </fill>
    <fill>
      <patternFill patternType="solid">
        <fgColor rgb="FFFF7128"/>
        <bgColor indexed="64"/>
      </patternFill>
    </fill>
    <fill>
      <patternFill patternType="solid">
        <fgColor rgb="FF1B3A4B"/>
        <bgColor indexed="64"/>
      </patternFill>
    </fill>
    <fill>
      <patternFill patternType="solid">
        <fgColor rgb="FF2C3E50"/>
        <bgColor indexed="64"/>
      </patternFill>
    </fill>
    <fill>
      <patternFill patternType="solid">
        <fgColor rgb="FF1A5276"/>
        <bgColor indexed="64"/>
      </patternFill>
    </fill>
    <fill>
      <patternFill patternType="solid">
        <fgColor rgb="FFF8F9F9"/>
        <bgColor indexed="64"/>
      </patternFill>
    </fill>
    <fill>
      <patternFill patternType="solid">
        <fgColor rgb="FFFAFAFA"/>
        <bgColor indexed="64"/>
      </patternFill>
    </fill>
    <fill>
      <patternFill patternType="solid">
        <fgColor rgb="FF2E86C1"/>
        <bgColor indexed="64"/>
      </patternFill>
    </fill>
    <fill>
      <patternFill patternType="solid">
        <fgColor rgb="FF1E8449"/>
        <bgColor indexed="64"/>
      </patternFill>
    </fill>
    <fill>
      <patternFill patternType="solid">
        <fgColor rgb="FF922B21"/>
        <bgColor indexed="64"/>
      </patternFill>
    </fill>
  </fills>
  <borders count="21">
    <border>
      <left/>
      <right/>
      <top/>
      <bottom/>
      <diagonal/>
    </border>
    <border>
      <left/>
      <right/>
      <top/>
      <bottom style="medium">
        <color rgb="FF2E86C1"/>
      </bottom>
      <diagonal/>
    </border>
    <border>
      <left style="thin">
        <color rgb="FFBDC3C7"/>
      </left>
      <right style="thin">
        <color rgb="FFBDC3C7"/>
      </right>
      <top style="thin">
        <color rgb="FFBDC3C7"/>
      </top>
      <bottom style="thin">
        <color rgb="FFBDC3C7"/>
      </bottom>
      <diagonal/>
    </border>
    <border>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rgb="FFBDC3C7"/>
      </right>
      <top style="thin">
        <color rgb="FFBDC3C7"/>
      </top>
      <bottom style="thin">
        <color rgb="FFBDC3C7"/>
      </bottom>
      <diagonal/>
    </border>
    <border>
      <left style="thin">
        <color rgb="FFBDC3C7"/>
      </left>
      <right style="thin">
        <color rgb="FFBDC3C7"/>
      </right>
      <top style="thin">
        <color rgb="FFBDC3C7"/>
      </top>
      <bottom/>
      <diagonal/>
    </border>
    <border>
      <left style="thin">
        <color rgb="FFBDC3C7"/>
      </left>
      <right style="thin">
        <color rgb="FFBDC3C7"/>
      </right>
      <top style="thin">
        <color rgb="FFBDC3C7"/>
      </top>
      <bottom style="thin">
        <color auto="1"/>
      </bottom>
      <diagonal/>
    </border>
    <border>
      <left style="thin">
        <color auto="1"/>
      </left>
      <right style="thin">
        <color rgb="FFBDC3C7"/>
      </right>
      <top style="thin">
        <color auto="1"/>
      </top>
      <bottom style="thin">
        <color auto="1"/>
      </bottom>
      <diagonal/>
    </border>
    <border>
      <left style="thin">
        <color rgb="FFBDC3C7"/>
      </left>
      <right style="thin">
        <color rgb="FFBDC3C7"/>
      </right>
      <top style="thin">
        <color auto="1"/>
      </top>
      <bottom style="thin">
        <color auto="1"/>
      </bottom>
      <diagonal/>
    </border>
    <border>
      <left style="thin">
        <color rgb="FFBDC3C7"/>
      </left>
      <right style="thin">
        <color auto="1"/>
      </right>
      <top style="thin">
        <color auto="1"/>
      </top>
      <bottom style="thin">
        <color auto="1"/>
      </bottom>
      <diagonal/>
    </border>
    <border>
      <left style="thin">
        <color auto="1"/>
      </left>
      <right/>
      <top style="medium">
        <color auto="1"/>
      </top>
      <bottom style="thin">
        <color auto="1"/>
      </bottom>
      <diagonal/>
    </border>
    <border>
      <left/>
      <right style="thin">
        <color rgb="FFBDC3C7"/>
      </right>
      <top/>
      <bottom/>
      <diagonal/>
    </border>
  </borders>
  <cellStyleXfs count="1">
    <xf numFmtId="0" fontId="0" fillId="0" borderId="0"/>
  </cellStyleXfs>
  <cellXfs count="265">
    <xf numFmtId="0" fontId="0" fillId="0" borderId="0" xfId="0"/>
    <xf numFmtId="0" fontId="19" fillId="0" borderId="0" xfId="0" applyFont="1" applyAlignment="1">
      <alignment horizontal="left" vertical="center"/>
    </xf>
    <xf numFmtId="0" fontId="18" fillId="8" borderId="2" xfId="0" applyFont="1" applyFill="1" applyBorder="1" applyAlignment="1">
      <alignment horizontal="center" vertical="center"/>
    </xf>
    <xf numFmtId="0" fontId="8" fillId="0" borderId="2" xfId="0" applyFont="1" applyBorder="1" applyAlignment="1">
      <alignment horizontal="left" vertical="top" wrapText="1"/>
    </xf>
    <xf numFmtId="0" fontId="11" fillId="11"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2" fillId="8"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6" fillId="0" borderId="0" xfId="0" applyFont="1" applyAlignment="1">
      <alignment horizontal="left" vertical="center" wrapText="1"/>
    </xf>
    <xf numFmtId="0" fontId="3" fillId="2" borderId="2" xfId="0" applyFont="1" applyFill="1" applyBorder="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7" fillId="6"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8" borderId="2" xfId="0" applyFont="1" applyFill="1" applyBorder="1" applyAlignment="1">
      <alignment horizontal="left" vertical="top" wrapText="1"/>
    </xf>
    <xf numFmtId="0" fontId="7" fillId="9" borderId="2" xfId="0" applyFont="1" applyFill="1" applyBorder="1" applyAlignment="1">
      <alignment horizontal="left" vertical="top" wrapText="1"/>
    </xf>
    <xf numFmtId="0" fontId="7" fillId="2" borderId="2" xfId="0" applyFont="1" applyFill="1" applyBorder="1" applyAlignment="1">
      <alignment horizontal="left" vertical="top" wrapText="1"/>
    </xf>
    <xf numFmtId="0" fontId="10" fillId="10" borderId="2" xfId="0" applyFont="1" applyFill="1" applyBorder="1" applyAlignment="1">
      <alignment horizontal="center" vertical="center"/>
    </xf>
    <xf numFmtId="0" fontId="10" fillId="11" borderId="2" xfId="0" applyFont="1" applyFill="1" applyBorder="1" applyAlignment="1">
      <alignment horizontal="center" vertical="center"/>
    </xf>
    <xf numFmtId="0" fontId="15" fillId="12" borderId="2" xfId="0" applyFont="1" applyFill="1" applyBorder="1" applyAlignment="1">
      <alignment horizontal="center" vertical="center"/>
    </xf>
    <xf numFmtId="0" fontId="15" fillId="12" borderId="2" xfId="0" applyFont="1" applyFill="1" applyBorder="1" applyAlignment="1">
      <alignment horizontal="left" vertical="center"/>
    </xf>
    <xf numFmtId="0" fontId="16" fillId="0" borderId="2" xfId="0" applyFont="1" applyBorder="1" applyAlignment="1">
      <alignment horizontal="center" vertical="top" wrapText="1"/>
    </xf>
    <xf numFmtId="0" fontId="16" fillId="3"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17" fillId="0" borderId="2" xfId="0" applyFont="1" applyBorder="1" applyAlignment="1">
      <alignment horizontal="center" vertical="top"/>
    </xf>
    <xf numFmtId="0" fontId="9" fillId="10" borderId="2" xfId="0" applyFont="1" applyFill="1" applyBorder="1" applyAlignment="1">
      <alignment horizontal="left" vertical="top" wrapText="1"/>
    </xf>
    <xf numFmtId="0" fontId="15" fillId="8" borderId="2" xfId="0" applyFont="1" applyFill="1" applyBorder="1" applyAlignment="1">
      <alignment horizontal="center" vertical="top" wrapText="1"/>
    </xf>
    <xf numFmtId="0" fontId="15" fillId="5" borderId="2" xfId="0" applyFont="1" applyFill="1" applyBorder="1" applyAlignment="1">
      <alignment horizontal="center" vertical="top" wrapText="1"/>
    </xf>
    <xf numFmtId="0" fontId="15" fillId="6" borderId="2" xfId="0" applyFont="1" applyFill="1" applyBorder="1" applyAlignment="1">
      <alignment horizontal="center" vertical="top" wrapText="1"/>
    </xf>
    <xf numFmtId="0" fontId="15" fillId="7" borderId="2" xfId="0" applyFont="1" applyFill="1" applyBorder="1" applyAlignment="1">
      <alignment horizontal="center" vertical="top" wrapText="1"/>
    </xf>
    <xf numFmtId="0" fontId="15" fillId="9" borderId="2" xfId="0" applyFont="1" applyFill="1" applyBorder="1" applyAlignment="1">
      <alignment horizontal="center" vertical="top" wrapText="1"/>
    </xf>
    <xf numFmtId="0" fontId="15" fillId="2" borderId="2" xfId="0" applyFont="1" applyFill="1" applyBorder="1" applyAlignment="1">
      <alignment horizontal="center" vertical="top" wrapText="1"/>
    </xf>
    <xf numFmtId="0" fontId="21" fillId="2" borderId="2" xfId="0" applyFont="1" applyFill="1" applyBorder="1" applyAlignment="1">
      <alignment horizontal="center" vertical="center" wrapText="1"/>
    </xf>
    <xf numFmtId="0" fontId="22" fillId="3" borderId="2" xfId="0" applyFont="1" applyFill="1" applyBorder="1" applyAlignment="1">
      <alignment horizontal="left" vertical="top" wrapText="1"/>
    </xf>
    <xf numFmtId="0" fontId="22" fillId="0" borderId="2" xfId="0" applyFont="1" applyBorder="1" applyAlignment="1">
      <alignment horizontal="left" vertical="top" wrapText="1"/>
    </xf>
    <xf numFmtId="0" fontId="26" fillId="16" borderId="2" xfId="0" applyFont="1" applyFill="1" applyBorder="1" applyAlignment="1">
      <alignment horizontal="center" vertical="center" wrapText="1"/>
    </xf>
    <xf numFmtId="0" fontId="27" fillId="17" borderId="2" xfId="0" applyFont="1" applyFill="1" applyBorder="1" applyAlignment="1">
      <alignment horizontal="center" vertical="center" wrapText="1"/>
    </xf>
    <xf numFmtId="0" fontId="14" fillId="18" borderId="2"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4" fillId="3" borderId="2" xfId="0" applyFont="1" applyFill="1" applyBorder="1" applyAlignment="1">
      <alignment horizontal="left" vertical="top" wrapText="1"/>
    </xf>
    <xf numFmtId="0" fontId="24" fillId="0" borderId="2" xfId="0" applyFont="1" applyBorder="1" applyAlignment="1">
      <alignment horizontal="left" vertical="top" wrapText="1"/>
    </xf>
    <xf numFmtId="0" fontId="20" fillId="0" borderId="0" xfId="0" applyFont="1" applyAlignment="1">
      <alignment horizontal="left" vertical="top" wrapText="1"/>
    </xf>
    <xf numFmtId="0" fontId="13" fillId="0" borderId="0" xfId="0" applyFont="1" applyAlignment="1">
      <alignment horizontal="left" vertical="top" wrapText="1"/>
    </xf>
    <xf numFmtId="0" fontId="21" fillId="8" borderId="0" xfId="0" applyFont="1" applyFill="1" applyAlignment="1">
      <alignment horizontal="left" vertical="center"/>
    </xf>
    <xf numFmtId="0" fontId="23" fillId="0" borderId="0" xfId="0" applyFont="1"/>
    <xf numFmtId="0" fontId="25" fillId="0" borderId="0" xfId="0" applyFont="1"/>
    <xf numFmtId="0" fontId="21" fillId="12" borderId="2" xfId="0" applyFont="1" applyFill="1" applyBorder="1" applyAlignment="1">
      <alignment horizontal="center" vertical="center" wrapText="1"/>
    </xf>
    <xf numFmtId="0" fontId="21" fillId="13" borderId="2" xfId="0" applyFont="1" applyFill="1" applyBorder="1" applyAlignment="1">
      <alignment horizontal="center" vertical="center" wrapText="1"/>
    </xf>
    <xf numFmtId="0" fontId="21" fillId="14" borderId="2" xfId="0" applyFont="1" applyFill="1" applyBorder="1" applyAlignment="1">
      <alignment horizontal="center" vertical="center" wrapText="1"/>
    </xf>
    <xf numFmtId="0" fontId="21" fillId="15" borderId="2" xfId="0" applyFont="1" applyFill="1" applyBorder="1" applyAlignment="1">
      <alignment horizontal="center" vertical="center" wrapText="1"/>
    </xf>
    <xf numFmtId="0" fontId="21" fillId="8" borderId="2" xfId="0" applyFont="1" applyFill="1" applyBorder="1" applyAlignment="1">
      <alignment horizontal="left" vertical="center"/>
    </xf>
    <xf numFmtId="0" fontId="19" fillId="0" borderId="0" xfId="0" applyFont="1"/>
    <xf numFmtId="0" fontId="18" fillId="2" borderId="2" xfId="0" applyFont="1" applyFill="1" applyBorder="1" applyAlignment="1">
      <alignment horizontal="left" vertical="center"/>
    </xf>
    <xf numFmtId="0" fontId="32" fillId="20" borderId="0" xfId="0" applyFont="1" applyFill="1"/>
    <xf numFmtId="0" fontId="29" fillId="0" borderId="0" xfId="0" applyFont="1"/>
    <xf numFmtId="0" fontId="30" fillId="0" borderId="0" xfId="0" applyFont="1"/>
    <xf numFmtId="0" fontId="31" fillId="19" borderId="4" xfId="0" applyFont="1" applyFill="1" applyBorder="1" applyAlignment="1">
      <alignment horizontal="center"/>
    </xf>
    <xf numFmtId="0" fontId="31" fillId="19" borderId="5" xfId="0" applyFont="1" applyFill="1" applyBorder="1" applyAlignment="1">
      <alignment horizontal="center"/>
    </xf>
    <xf numFmtId="0" fontId="31" fillId="19" borderId="5" xfId="0" applyFont="1" applyFill="1" applyBorder="1" applyAlignment="1">
      <alignment horizontal="center" wrapText="1"/>
    </xf>
    <xf numFmtId="0" fontId="31" fillId="19" borderId="6" xfId="0" applyFont="1" applyFill="1" applyBorder="1" applyAlignment="1">
      <alignment horizontal="center"/>
    </xf>
    <xf numFmtId="0" fontId="0" fillId="0" borderId="7" xfId="0" applyBorder="1" applyAlignment="1">
      <alignment horizontal="center"/>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0" fillId="0" borderId="9" xfId="0" applyBorder="1"/>
    <xf numFmtId="0" fontId="0" fillId="0" borderId="10" xfId="0" applyBorder="1" applyAlignment="1">
      <alignment horizontal="center"/>
    </xf>
    <xf numFmtId="0" fontId="0" fillId="0" borderId="11" xfId="0" applyBorder="1"/>
    <xf numFmtId="0" fontId="0" fillId="0" borderId="11" xfId="0" applyBorder="1" applyAlignment="1">
      <alignment wrapText="1"/>
    </xf>
    <xf numFmtId="0" fontId="0" fillId="0" borderId="11" xfId="0" applyBorder="1" applyAlignment="1">
      <alignment horizontal="center"/>
    </xf>
    <xf numFmtId="0" fontId="0" fillId="0" borderId="12" xfId="0" applyBorder="1"/>
    <xf numFmtId="0" fontId="33" fillId="0" borderId="4" xfId="0" applyFont="1" applyBorder="1"/>
    <xf numFmtId="0" fontId="0" fillId="0" borderId="5" xfId="0" applyBorder="1"/>
    <xf numFmtId="0" fontId="31" fillId="21" borderId="5" xfId="0" applyFont="1" applyFill="1" applyBorder="1" applyAlignment="1">
      <alignment horizontal="center"/>
    </xf>
    <xf numFmtId="0" fontId="31" fillId="21" borderId="6" xfId="0" applyFont="1" applyFill="1" applyBorder="1" applyAlignment="1">
      <alignment horizontal="center"/>
    </xf>
    <xf numFmtId="0" fontId="35" fillId="0" borderId="7" xfId="0" applyFont="1" applyBorder="1"/>
    <xf numFmtId="0" fontId="37" fillId="0" borderId="8" xfId="0" applyFont="1" applyBorder="1" applyAlignment="1">
      <alignment horizontal="center"/>
    </xf>
    <xf numFmtId="0" fontId="36" fillId="0" borderId="8" xfId="0" applyFont="1" applyBorder="1" applyAlignment="1">
      <alignment horizontal="center"/>
    </xf>
    <xf numFmtId="164" fontId="36" fillId="0" borderId="9" xfId="0" applyNumberFormat="1" applyFont="1" applyBorder="1" applyAlignment="1">
      <alignment horizontal="center"/>
    </xf>
    <xf numFmtId="0" fontId="38" fillId="0" borderId="7" xfId="0" applyFont="1" applyBorder="1"/>
    <xf numFmtId="0" fontId="39" fillId="0" borderId="8" xfId="0" applyFont="1" applyBorder="1" applyAlignment="1">
      <alignment horizontal="center"/>
    </xf>
    <xf numFmtId="0" fontId="40" fillId="0" borderId="7" xfId="0" applyFont="1" applyBorder="1"/>
    <xf numFmtId="0" fontId="41" fillId="0" borderId="8" xfId="0" applyFont="1" applyBorder="1" applyAlignment="1">
      <alignment horizontal="center"/>
    </xf>
    <xf numFmtId="0" fontId="42" fillId="0" borderId="7" xfId="0" applyFont="1" applyBorder="1"/>
    <xf numFmtId="0" fontId="43" fillId="0" borderId="8" xfId="0" applyFont="1" applyBorder="1" applyAlignment="1">
      <alignment horizontal="center"/>
    </xf>
    <xf numFmtId="0" fontId="44" fillId="0" borderId="10" xfId="0" applyFont="1" applyBorder="1"/>
    <xf numFmtId="0" fontId="45" fillId="0" borderId="11" xfId="0" applyFont="1" applyBorder="1" applyAlignment="1">
      <alignment horizontal="center"/>
    </xf>
    <xf numFmtId="0" fontId="36" fillId="0" borderId="11" xfId="0" applyFont="1" applyBorder="1" applyAlignment="1">
      <alignment horizontal="center"/>
    </xf>
    <xf numFmtId="164" fontId="36" fillId="0" borderId="12" xfId="0" applyNumberFormat="1" applyFont="1" applyBorder="1" applyAlignment="1">
      <alignment horizontal="center"/>
    </xf>
    <xf numFmtId="0" fontId="34" fillId="0" borderId="7" xfId="0" applyFont="1" applyBorder="1"/>
    <xf numFmtId="165" fontId="36" fillId="0" borderId="8" xfId="0" applyNumberFormat="1" applyFont="1" applyBorder="1" applyAlignment="1">
      <alignment horizontal="center"/>
    </xf>
    <xf numFmtId="0" fontId="36" fillId="0" borderId="9" xfId="0" applyFont="1" applyBorder="1" applyAlignment="1">
      <alignment horizontal="center"/>
    </xf>
    <xf numFmtId="0" fontId="0" fillId="0" borderId="0" xfId="0"/>
    <xf numFmtId="0" fontId="34" fillId="22" borderId="7" xfId="0" applyFont="1" applyFill="1" applyBorder="1"/>
    <xf numFmtId="0" fontId="0" fillId="22" borderId="8" xfId="0" applyFill="1" applyBorder="1"/>
    <xf numFmtId="165" fontId="36" fillId="22" borderId="8" xfId="0" applyNumberFormat="1" applyFont="1" applyFill="1" applyBorder="1" applyAlignment="1">
      <alignment horizontal="center"/>
    </xf>
    <xf numFmtId="0" fontId="36" fillId="22" borderId="8" xfId="0" applyFont="1" applyFill="1" applyBorder="1" applyAlignment="1">
      <alignment horizontal="center"/>
    </xf>
    <xf numFmtId="0" fontId="36" fillId="22" borderId="9" xfId="0" applyFont="1" applyFill="1" applyBorder="1" applyAlignment="1">
      <alignment horizontal="center"/>
    </xf>
    <xf numFmtId="0" fontId="34" fillId="22" borderId="10" xfId="0" applyFont="1" applyFill="1" applyBorder="1"/>
    <xf numFmtId="0" fontId="0" fillId="22" borderId="11" xfId="0" applyFill="1" applyBorder="1"/>
    <xf numFmtId="165" fontId="36" fillId="22" borderId="11" xfId="0" applyNumberFormat="1" applyFont="1" applyFill="1" applyBorder="1" applyAlignment="1">
      <alignment horizontal="center"/>
    </xf>
    <xf numFmtId="0" fontId="36" fillId="22" borderId="11" xfId="0" applyFont="1" applyFill="1" applyBorder="1" applyAlignment="1">
      <alignment horizontal="center"/>
    </xf>
    <xf numFmtId="0" fontId="36" fillId="22" borderId="12" xfId="0" applyFont="1" applyFill="1" applyBorder="1" applyAlignment="1">
      <alignment horizontal="center"/>
    </xf>
    <xf numFmtId="0" fontId="46" fillId="19" borderId="0" xfId="0" applyFont="1" applyFill="1"/>
    <xf numFmtId="14" fontId="0" fillId="0" borderId="0" xfId="0" applyNumberFormat="1"/>
    <xf numFmtId="0" fontId="47" fillId="23" borderId="0" xfId="0" applyFont="1" applyFill="1" applyAlignment="1">
      <alignment horizontal="center"/>
    </xf>
    <xf numFmtId="0" fontId="48" fillId="24" borderId="0" xfId="0" applyFont="1" applyFill="1" applyAlignment="1">
      <alignment horizontal="center"/>
    </xf>
    <xf numFmtId="0" fontId="49" fillId="25" borderId="0" xfId="0" applyFont="1" applyFill="1" applyAlignment="1">
      <alignment horizontal="center"/>
    </xf>
    <xf numFmtId="0" fontId="50" fillId="21" borderId="4" xfId="0" applyFont="1" applyFill="1" applyBorder="1" applyAlignment="1">
      <alignment horizontal="center"/>
    </xf>
    <xf numFmtId="0" fontId="50" fillId="21" borderId="5" xfId="0" applyFont="1" applyFill="1" applyBorder="1" applyAlignment="1">
      <alignment horizontal="center"/>
    </xf>
    <xf numFmtId="0" fontId="50" fillId="21" borderId="5" xfId="0" applyFont="1" applyFill="1" applyBorder="1" applyAlignment="1">
      <alignment horizontal="center" wrapText="1"/>
    </xf>
    <xf numFmtId="0" fontId="50" fillId="21" borderId="6" xfId="0" applyFont="1" applyFill="1" applyBorder="1" applyAlignment="1">
      <alignment horizontal="center"/>
    </xf>
    <xf numFmtId="0" fontId="51" fillId="25" borderId="7" xfId="0" applyFont="1" applyFill="1" applyBorder="1" applyAlignment="1">
      <alignment horizontal="center"/>
    </xf>
    <xf numFmtId="0" fontId="51" fillId="25" borderId="8" xfId="0" applyFont="1" applyFill="1" applyBorder="1"/>
    <xf numFmtId="0" fontId="52" fillId="27" borderId="8" xfId="0" applyFont="1" applyFill="1" applyBorder="1" applyAlignment="1">
      <alignment horizontal="center"/>
    </xf>
    <xf numFmtId="0" fontId="51" fillId="25" borderId="8" xfId="0" applyFont="1" applyFill="1" applyBorder="1" applyAlignment="1">
      <alignment wrapText="1"/>
    </xf>
    <xf numFmtId="0" fontId="54" fillId="31" borderId="8" xfId="0" applyFont="1" applyFill="1" applyBorder="1" applyAlignment="1">
      <alignment horizontal="center"/>
    </xf>
    <xf numFmtId="0" fontId="51" fillId="25" borderId="8" xfId="0" applyFont="1" applyFill="1" applyBorder="1" applyAlignment="1">
      <alignment horizontal="center"/>
    </xf>
    <xf numFmtId="0" fontId="51" fillId="25" borderId="9" xfId="0" applyFont="1" applyFill="1" applyBorder="1" applyAlignment="1">
      <alignment horizontal="center"/>
    </xf>
    <xf numFmtId="0" fontId="51" fillId="26" borderId="7" xfId="0" applyFont="1" applyFill="1" applyBorder="1" applyAlignment="1">
      <alignment horizontal="center"/>
    </xf>
    <xf numFmtId="0" fontId="51" fillId="26" borderId="8" xfId="0" applyFont="1" applyFill="1" applyBorder="1"/>
    <xf numFmtId="0" fontId="52" fillId="28" borderId="8" xfId="0" applyFont="1" applyFill="1" applyBorder="1" applyAlignment="1">
      <alignment horizontal="center"/>
    </xf>
    <xf numFmtId="0" fontId="51" fillId="26" borderId="8" xfId="0" applyFont="1" applyFill="1" applyBorder="1" applyAlignment="1">
      <alignment wrapText="1"/>
    </xf>
    <xf numFmtId="0" fontId="51" fillId="26" borderId="8" xfId="0" applyFont="1" applyFill="1" applyBorder="1" applyAlignment="1">
      <alignment horizontal="center"/>
    </xf>
    <xf numFmtId="0" fontId="51" fillId="26" borderId="9" xfId="0" applyFont="1" applyFill="1" applyBorder="1" applyAlignment="1">
      <alignment horizontal="center"/>
    </xf>
    <xf numFmtId="0" fontId="52" fillId="29" borderId="8" xfId="0" applyFont="1" applyFill="1" applyBorder="1" applyAlignment="1">
      <alignment horizontal="center"/>
    </xf>
    <xf numFmtId="0" fontId="52" fillId="30" borderId="8" xfId="0" applyFont="1" applyFill="1" applyBorder="1" applyAlignment="1">
      <alignment horizontal="center"/>
    </xf>
    <xf numFmtId="0" fontId="51" fillId="25" borderId="10" xfId="0" applyFont="1" applyFill="1" applyBorder="1" applyAlignment="1">
      <alignment horizontal="center"/>
    </xf>
    <xf numFmtId="0" fontId="51" fillId="25" borderId="11" xfId="0" applyFont="1" applyFill="1" applyBorder="1"/>
    <xf numFmtId="0" fontId="52" fillId="27" borderId="11" xfId="0" applyFont="1" applyFill="1" applyBorder="1" applyAlignment="1">
      <alignment horizontal="center"/>
    </xf>
    <xf numFmtId="0" fontId="51" fillId="25" borderId="11" xfId="0" applyFont="1" applyFill="1" applyBorder="1" applyAlignment="1">
      <alignment wrapText="1"/>
    </xf>
    <xf numFmtId="0" fontId="54" fillId="31" borderId="11" xfId="0" applyFont="1" applyFill="1" applyBorder="1" applyAlignment="1">
      <alignment horizontal="center"/>
    </xf>
    <xf numFmtId="0" fontId="51" fillId="25" borderId="11" xfId="0" applyFont="1" applyFill="1" applyBorder="1" applyAlignment="1">
      <alignment horizontal="center"/>
    </xf>
    <xf numFmtId="0" fontId="51" fillId="25" borderId="12" xfId="0" applyFont="1" applyFill="1" applyBorder="1" applyAlignment="1">
      <alignment horizontal="center"/>
    </xf>
    <xf numFmtId="0" fontId="55" fillId="23" borderId="0" xfId="0" applyFont="1" applyFill="1" applyAlignment="1">
      <alignment horizontal="center"/>
    </xf>
    <xf numFmtId="0" fontId="56" fillId="0" borderId="4" xfId="0" applyFont="1" applyBorder="1"/>
    <xf numFmtId="0" fontId="57" fillId="0" borderId="7" xfId="0" applyFont="1" applyBorder="1"/>
    <xf numFmtId="0" fontId="53" fillId="0" borderId="8" xfId="0" applyFont="1" applyBorder="1" applyAlignment="1">
      <alignment horizontal="center"/>
    </xf>
    <xf numFmtId="0" fontId="51" fillId="0" borderId="8" xfId="0" applyFont="1" applyBorder="1" applyAlignment="1">
      <alignment horizontal="center"/>
    </xf>
    <xf numFmtId="164" fontId="51" fillId="0" borderId="9" xfId="0" applyNumberFormat="1" applyFont="1" applyBorder="1" applyAlignment="1">
      <alignment horizontal="center"/>
    </xf>
    <xf numFmtId="0" fontId="58" fillId="0" borderId="7" xfId="0" applyFont="1" applyBorder="1"/>
    <xf numFmtId="0" fontId="59" fillId="0" borderId="8" xfId="0" applyFont="1" applyBorder="1" applyAlignment="1">
      <alignment horizontal="center"/>
    </xf>
    <xf numFmtId="0" fontId="60" fillId="0" borderId="7" xfId="0" applyFont="1" applyBorder="1"/>
    <xf numFmtId="0" fontId="61" fillId="0" borderId="8" xfId="0" applyFont="1" applyBorder="1" applyAlignment="1">
      <alignment horizontal="center"/>
    </xf>
    <xf numFmtId="0" fontId="62" fillId="0" borderId="7" xfId="0" applyFont="1" applyBorder="1"/>
    <xf numFmtId="0" fontId="63" fillId="0" borderId="8" xfId="0" applyFont="1" applyBorder="1" applyAlignment="1">
      <alignment horizontal="center"/>
    </xf>
    <xf numFmtId="0" fontId="64" fillId="0" borderId="10" xfId="0" applyFont="1" applyBorder="1"/>
    <xf numFmtId="0" fontId="65" fillId="0" borderId="11" xfId="0" applyFont="1" applyBorder="1" applyAlignment="1">
      <alignment horizontal="center"/>
    </xf>
    <xf numFmtId="0" fontId="51" fillId="0" borderId="11" xfId="0" applyFont="1" applyBorder="1" applyAlignment="1">
      <alignment horizontal="center"/>
    </xf>
    <xf numFmtId="164" fontId="51" fillId="0" borderId="12" xfId="0" applyNumberFormat="1" applyFont="1" applyBorder="1" applyAlignment="1">
      <alignment horizontal="center"/>
    </xf>
    <xf numFmtId="165" fontId="51" fillId="0" borderId="8" xfId="0" applyNumberFormat="1" applyFont="1" applyBorder="1" applyAlignment="1">
      <alignment horizontal="center"/>
    </xf>
    <xf numFmtId="0" fontId="51" fillId="0" borderId="9" xfId="0" applyFont="1" applyBorder="1" applyAlignment="1">
      <alignment horizontal="center"/>
    </xf>
    <xf numFmtId="0" fontId="57" fillId="0" borderId="10" xfId="0" applyFont="1" applyBorder="1"/>
    <xf numFmtId="165" fontId="51" fillId="0" borderId="11" xfId="0" applyNumberFormat="1" applyFont="1" applyBorder="1" applyAlignment="1">
      <alignment horizontal="center"/>
    </xf>
    <xf numFmtId="0" fontId="51" fillId="0" borderId="12" xfId="0" applyFont="1" applyBorder="1" applyAlignment="1">
      <alignment horizontal="center"/>
    </xf>
    <xf numFmtId="0" fontId="57" fillId="25" borderId="7" xfId="0" applyFont="1" applyFill="1" applyBorder="1"/>
    <xf numFmtId="0" fontId="0" fillId="25" borderId="8" xfId="0" applyFill="1" applyBorder="1"/>
    <xf numFmtId="165" fontId="51" fillId="25" borderId="8" xfId="0" applyNumberFormat="1" applyFont="1" applyFill="1" applyBorder="1" applyAlignment="1">
      <alignment horizontal="center"/>
    </xf>
    <xf numFmtId="0" fontId="22" fillId="0" borderId="13" xfId="0" applyFont="1" applyBorder="1" applyAlignment="1">
      <alignment horizontal="left" vertical="top" wrapText="1"/>
    </xf>
    <xf numFmtId="0" fontId="22" fillId="3" borderId="13" xfId="0" applyFont="1" applyFill="1" applyBorder="1" applyAlignment="1">
      <alignment horizontal="left" vertical="top" wrapText="1"/>
    </xf>
    <xf numFmtId="0" fontId="21" fillId="2" borderId="14" xfId="0" applyFont="1" applyFill="1" applyBorder="1" applyAlignment="1">
      <alignment horizontal="center" vertical="center" wrapText="1"/>
    </xf>
    <xf numFmtId="0" fontId="22" fillId="0" borderId="8" xfId="0" applyFont="1" applyBorder="1" applyAlignment="1">
      <alignment horizontal="left" vertical="top" wrapText="1"/>
    </xf>
    <xf numFmtId="0" fontId="22" fillId="3" borderId="8" xfId="0" applyFont="1" applyFill="1" applyBorder="1" applyAlignment="1">
      <alignment horizontal="left" vertical="top" wrapText="1"/>
    </xf>
    <xf numFmtId="0" fontId="66" fillId="32" borderId="15" xfId="0" applyFont="1" applyFill="1" applyBorder="1" applyAlignment="1">
      <alignment horizontal="center" vertical="center" wrapText="1"/>
    </xf>
    <xf numFmtId="0" fontId="67" fillId="0" borderId="16" xfId="0" applyFont="1" applyBorder="1" applyAlignment="1">
      <alignment horizontal="center" vertical="top" wrapText="1"/>
    </xf>
    <xf numFmtId="0" fontId="67" fillId="0" borderId="17" xfId="0" applyFont="1" applyBorder="1" applyAlignment="1">
      <alignment horizontal="left" vertical="top" wrapText="1"/>
    </xf>
    <xf numFmtId="0" fontId="67" fillId="0" borderId="17" xfId="0" applyFont="1" applyBorder="1" applyAlignment="1">
      <alignment horizontal="center" vertical="top" wrapText="1"/>
    </xf>
    <xf numFmtId="0" fontId="67" fillId="0" borderId="18" xfId="0" applyFont="1" applyBorder="1" applyAlignment="1">
      <alignment horizontal="center" vertical="top" wrapText="1"/>
    </xf>
    <xf numFmtId="0" fontId="67" fillId="3" borderId="16" xfId="0" applyFont="1" applyFill="1" applyBorder="1" applyAlignment="1">
      <alignment horizontal="center" vertical="top" wrapText="1"/>
    </xf>
    <xf numFmtId="0" fontId="67" fillId="3" borderId="17" xfId="0" applyFont="1" applyFill="1" applyBorder="1" applyAlignment="1">
      <alignment horizontal="left" vertical="top" wrapText="1"/>
    </xf>
    <xf numFmtId="0" fontId="67" fillId="3" borderId="17" xfId="0" applyFont="1" applyFill="1" applyBorder="1" applyAlignment="1">
      <alignment horizontal="center" vertical="top" wrapText="1"/>
    </xf>
    <xf numFmtId="0" fontId="67" fillId="3" borderId="18" xfId="0" applyFont="1" applyFill="1" applyBorder="1" applyAlignment="1">
      <alignment horizontal="center" vertical="top" wrapText="1"/>
    </xf>
    <xf numFmtId="0" fontId="66" fillId="33" borderId="14" xfId="0" applyFont="1" applyFill="1" applyBorder="1" applyAlignment="1">
      <alignment horizontal="center" vertical="center" wrapText="1"/>
    </xf>
    <xf numFmtId="0" fontId="71" fillId="32" borderId="0" xfId="0" applyFont="1" applyFill="1" applyAlignment="1">
      <alignment horizontal="center"/>
    </xf>
    <xf numFmtId="0" fontId="0" fillId="32" borderId="0" xfId="0" applyFill="1"/>
    <xf numFmtId="0" fontId="72" fillId="0" borderId="0" xfId="0" applyFont="1"/>
    <xf numFmtId="0" fontId="66" fillId="34" borderId="0" xfId="0" applyFont="1" applyFill="1" applyAlignment="1">
      <alignment horizontal="center"/>
    </xf>
    <xf numFmtId="0" fontId="73" fillId="0" borderId="0" xfId="0" applyFont="1"/>
    <xf numFmtId="0" fontId="75" fillId="0" borderId="0" xfId="0" applyFont="1" applyAlignment="1">
      <alignment horizontal="center"/>
    </xf>
    <xf numFmtId="0" fontId="74" fillId="0" borderId="0" xfId="0" applyFont="1" applyAlignment="1">
      <alignment horizontal="center"/>
    </xf>
    <xf numFmtId="0" fontId="76" fillId="0" borderId="0" xfId="0" applyFont="1"/>
    <xf numFmtId="164" fontId="74" fillId="0" borderId="0" xfId="0" applyNumberFormat="1" applyFont="1" applyAlignment="1">
      <alignment horizontal="center"/>
    </xf>
    <xf numFmtId="0" fontId="77" fillId="0" borderId="0" xfId="0" applyFont="1"/>
    <xf numFmtId="0" fontId="78" fillId="0" borderId="0" xfId="0" applyFont="1"/>
    <xf numFmtId="0" fontId="79" fillId="0" borderId="0" xfId="0" applyFont="1"/>
    <xf numFmtId="164" fontId="72" fillId="0" borderId="0" xfId="0" applyNumberFormat="1" applyFont="1" applyAlignment="1">
      <alignment horizontal="center"/>
    </xf>
    <xf numFmtId="165" fontId="74" fillId="0" borderId="0" xfId="0" applyNumberFormat="1" applyFont="1" applyAlignment="1">
      <alignment horizontal="center"/>
    </xf>
    <xf numFmtId="0" fontId="80" fillId="32" borderId="0" xfId="0" applyFont="1" applyFill="1" applyAlignment="1">
      <alignment horizontal="left"/>
    </xf>
    <xf numFmtId="0" fontId="81" fillId="35" borderId="0" xfId="0" applyFont="1" applyFill="1"/>
    <xf numFmtId="0" fontId="66" fillId="37" borderId="0" xfId="0" applyFont="1" applyFill="1"/>
    <xf numFmtId="0" fontId="66" fillId="38" borderId="0" xfId="0" applyFont="1" applyFill="1"/>
    <xf numFmtId="0" fontId="66" fillId="39" borderId="0" xfId="0" applyFont="1" applyFill="1"/>
    <xf numFmtId="0" fontId="66" fillId="34" borderId="0" xfId="0" applyFont="1" applyFill="1"/>
    <xf numFmtId="0" fontId="68" fillId="32" borderId="4" xfId="0" applyFont="1" applyFill="1" applyBorder="1"/>
    <xf numFmtId="0" fontId="68" fillId="32" borderId="5" xfId="0" applyFont="1" applyFill="1" applyBorder="1" applyAlignment="1">
      <alignment horizontal="center"/>
    </xf>
    <xf numFmtId="0" fontId="68" fillId="32" borderId="6" xfId="0" applyFont="1" applyFill="1" applyBorder="1" applyAlignment="1">
      <alignment horizontal="center"/>
    </xf>
    <xf numFmtId="0" fontId="101" fillId="25" borderId="7" xfId="0" applyFont="1" applyFill="1" applyBorder="1"/>
    <xf numFmtId="0" fontId="100" fillId="25" borderId="8" xfId="0" applyFont="1" applyFill="1" applyBorder="1" applyAlignment="1">
      <alignment horizontal="center"/>
    </xf>
    <xf numFmtId="165" fontId="100" fillId="25" borderId="8" xfId="0" applyNumberFormat="1" applyFont="1" applyFill="1" applyBorder="1" applyAlignment="1">
      <alignment horizontal="center"/>
    </xf>
    <xf numFmtId="0" fontId="102" fillId="25" borderId="8" xfId="0" applyFont="1" applyFill="1" applyBorder="1" applyAlignment="1">
      <alignment horizontal="center"/>
    </xf>
    <xf numFmtId="0" fontId="103" fillId="25" borderId="8" xfId="0" applyFont="1" applyFill="1" applyBorder="1" applyAlignment="1">
      <alignment horizontal="center"/>
    </xf>
    <xf numFmtId="0" fontId="100" fillId="25" borderId="9" xfId="0" applyFont="1" applyFill="1" applyBorder="1" applyAlignment="1">
      <alignment horizontal="center"/>
    </xf>
    <xf numFmtId="0" fontId="101" fillId="0" borderId="7" xfId="0" applyFont="1" applyBorder="1"/>
    <xf numFmtId="0" fontId="100" fillId="0" borderId="8" xfId="0" applyFont="1" applyBorder="1" applyAlignment="1">
      <alignment horizontal="center"/>
    </xf>
    <xf numFmtId="165" fontId="100" fillId="0" borderId="8" xfId="0" applyNumberFormat="1" applyFont="1" applyBorder="1" applyAlignment="1">
      <alignment horizontal="center"/>
    </xf>
    <xf numFmtId="0" fontId="102" fillId="0" borderId="8" xfId="0" applyFont="1" applyBorder="1" applyAlignment="1">
      <alignment horizontal="center"/>
    </xf>
    <xf numFmtId="0" fontId="103" fillId="0" borderId="8" xfId="0" applyFont="1" applyBorder="1" applyAlignment="1">
      <alignment horizontal="center"/>
    </xf>
    <xf numFmtId="0" fontId="100" fillId="0" borderId="9" xfId="0" applyFont="1" applyBorder="1" applyAlignment="1">
      <alignment horizontal="center"/>
    </xf>
    <xf numFmtId="0" fontId="101" fillId="0" borderId="10" xfId="0" applyFont="1" applyBorder="1"/>
    <xf numFmtId="0" fontId="100" fillId="0" borderId="11" xfId="0" applyFont="1" applyBorder="1" applyAlignment="1">
      <alignment horizontal="center"/>
    </xf>
    <xf numFmtId="165" fontId="100" fillId="0" borderId="11" xfId="0" applyNumberFormat="1" applyFont="1" applyBorder="1" applyAlignment="1">
      <alignment horizontal="center"/>
    </xf>
    <xf numFmtId="0" fontId="102" fillId="0" borderId="11" xfId="0" applyFont="1" applyBorder="1" applyAlignment="1">
      <alignment horizontal="center"/>
    </xf>
    <xf numFmtId="0" fontId="103" fillId="0" borderId="11" xfId="0" applyFont="1" applyBorder="1" applyAlignment="1">
      <alignment horizontal="center"/>
    </xf>
    <xf numFmtId="0" fontId="100" fillId="0" borderId="12" xfId="0" applyFont="1" applyBorder="1" applyAlignment="1">
      <alignment horizontal="center"/>
    </xf>
    <xf numFmtId="0" fontId="68" fillId="32" borderId="4" xfId="0" applyFont="1" applyFill="1" applyBorder="1" applyAlignment="1">
      <alignment horizontal="center"/>
    </xf>
    <xf numFmtId="0" fontId="86" fillId="0" borderId="10" xfId="0" applyFont="1" applyBorder="1" applyAlignment="1">
      <alignment horizontal="center"/>
    </xf>
    <xf numFmtId="0" fontId="87" fillId="0" borderId="11" xfId="0" applyFont="1" applyBorder="1" applyAlignment="1">
      <alignment horizontal="center"/>
    </xf>
    <xf numFmtId="0" fontId="88" fillId="0" borderId="11" xfId="0" applyFont="1" applyBorder="1" applyAlignment="1">
      <alignment horizontal="center"/>
    </xf>
    <xf numFmtId="0" fontId="89" fillId="0" borderId="11" xfId="0" applyFont="1" applyBorder="1" applyAlignment="1">
      <alignment horizontal="center"/>
    </xf>
    <xf numFmtId="0" fontId="90" fillId="0" borderId="11" xfId="0" applyFont="1" applyBorder="1" applyAlignment="1">
      <alignment horizontal="center"/>
    </xf>
    <xf numFmtId="0" fontId="91" fillId="0" borderId="12" xfId="0" applyFont="1" applyBorder="1" applyAlignment="1">
      <alignment horizontal="center"/>
    </xf>
    <xf numFmtId="0" fontId="92" fillId="0" borderId="11" xfId="0" applyFont="1" applyBorder="1" applyAlignment="1">
      <alignment horizontal="center"/>
    </xf>
    <xf numFmtId="0" fontId="93" fillId="0" borderId="11" xfId="0" applyFont="1" applyBorder="1" applyAlignment="1">
      <alignment horizontal="center"/>
    </xf>
    <xf numFmtId="0" fontId="94" fillId="0" borderId="12" xfId="0" applyFont="1" applyBorder="1" applyAlignment="1">
      <alignment horizontal="center"/>
    </xf>
    <xf numFmtId="0" fontId="68" fillId="27" borderId="4" xfId="0" applyFont="1" applyFill="1" applyBorder="1" applyAlignment="1">
      <alignment horizontal="center"/>
    </xf>
    <xf numFmtId="0" fontId="68" fillId="28" borderId="5" xfId="0" applyFont="1" applyFill="1" applyBorder="1" applyAlignment="1">
      <alignment horizontal="center"/>
    </xf>
    <xf numFmtId="0" fontId="70" fillId="29" borderId="5" xfId="0" applyFont="1" applyFill="1" applyBorder="1" applyAlignment="1">
      <alignment horizontal="center"/>
    </xf>
    <xf numFmtId="0" fontId="68" fillId="30" borderId="5" xfId="0" applyFont="1" applyFill="1" applyBorder="1" applyAlignment="1">
      <alignment horizontal="center"/>
    </xf>
    <xf numFmtId="0" fontId="95" fillId="0" borderId="10" xfId="0" applyFont="1" applyBorder="1" applyAlignment="1">
      <alignment horizontal="center"/>
    </xf>
    <xf numFmtId="0" fontId="96" fillId="0" borderId="11" xfId="0" applyFont="1" applyBorder="1" applyAlignment="1">
      <alignment horizontal="center"/>
    </xf>
    <xf numFmtId="0" fontId="97" fillId="0" borderId="11" xfId="0" applyFont="1" applyBorder="1" applyAlignment="1">
      <alignment horizontal="center"/>
    </xf>
    <xf numFmtId="0" fontId="98" fillId="0" borderId="11" xfId="0" applyFont="1" applyBorder="1" applyAlignment="1">
      <alignment horizontal="center"/>
    </xf>
    <xf numFmtId="0" fontId="99" fillId="0" borderId="11" xfId="0" applyFont="1" applyBorder="1" applyAlignment="1">
      <alignment horizontal="center"/>
    </xf>
    <xf numFmtId="164" fontId="83" fillId="36" borderId="8" xfId="0" applyNumberFormat="1" applyFont="1" applyFill="1" applyBorder="1" applyAlignment="1">
      <alignment horizontal="center"/>
    </xf>
    <xf numFmtId="0" fontId="84" fillId="36" borderId="8" xfId="0" applyFont="1" applyFill="1" applyBorder="1" applyAlignment="1">
      <alignment horizontal="center"/>
    </xf>
    <xf numFmtId="0" fontId="82" fillId="36" borderId="8" xfId="0" applyFont="1" applyFill="1" applyBorder="1" applyAlignment="1">
      <alignment horizontal="center"/>
    </xf>
    <xf numFmtId="0" fontId="85" fillId="36" borderId="8" xfId="0" applyFont="1" applyFill="1" applyBorder="1" applyAlignment="1">
      <alignment horizontal="center" vertical="center" wrapText="1"/>
    </xf>
    <xf numFmtId="0" fontId="22" fillId="0" borderId="2" xfId="0" applyFont="1" applyBorder="1" applyAlignment="1">
      <alignment horizontal="left" vertical="top"/>
    </xf>
    <xf numFmtId="0" fontId="24" fillId="0" borderId="2" xfId="0" applyFont="1" applyBorder="1" applyAlignment="1">
      <alignment wrapText="1"/>
    </xf>
    <xf numFmtId="14" fontId="22" fillId="0" borderId="2" xfId="0" applyNumberFormat="1" applyFont="1" applyBorder="1" applyAlignment="1">
      <alignment horizontal="left" vertical="top" wrapText="1"/>
    </xf>
    <xf numFmtId="14" fontId="22" fillId="3" borderId="2" xfId="0" applyNumberFormat="1" applyFont="1" applyFill="1" applyBorder="1" applyAlignment="1">
      <alignment horizontal="left" vertical="top" wrapText="1"/>
    </xf>
    <xf numFmtId="0" fontId="104" fillId="0" borderId="0" xfId="0" applyFont="1"/>
    <xf numFmtId="0" fontId="105" fillId="0" borderId="0" xfId="0" applyFont="1"/>
    <xf numFmtId="0" fontId="68" fillId="32" borderId="19" xfId="0" applyFont="1" applyFill="1" applyBorder="1" applyAlignment="1">
      <alignment horizontal="center" vertical="center"/>
    </xf>
    <xf numFmtId="0" fontId="68" fillId="32" borderId="3" xfId="0" applyFont="1" applyFill="1" applyBorder="1" applyAlignment="1">
      <alignment horizontal="center" vertical="center"/>
    </xf>
    <xf numFmtId="0" fontId="24" fillId="3" borderId="0" xfId="0" applyFont="1" applyFill="1" applyBorder="1" applyAlignment="1">
      <alignment horizontal="left" vertical="top" wrapText="1"/>
    </xf>
    <xf numFmtId="0" fontId="22" fillId="3" borderId="0" xfId="0" applyFont="1" applyFill="1" applyBorder="1" applyAlignment="1">
      <alignment horizontal="left" vertical="top" wrapText="1"/>
    </xf>
    <xf numFmtId="0" fontId="70" fillId="26" borderId="13" xfId="0" applyFont="1" applyFill="1" applyBorder="1" applyAlignment="1">
      <alignment horizontal="left" vertical="top" wrapText="1"/>
    </xf>
    <xf numFmtId="0" fontId="70" fillId="22" borderId="13" xfId="0" applyFont="1" applyFill="1" applyBorder="1" applyAlignment="1">
      <alignment horizontal="left" vertical="top" wrapText="1"/>
    </xf>
    <xf numFmtId="0" fontId="106" fillId="32" borderId="13" xfId="0" applyFont="1" applyFill="1" applyBorder="1" applyAlignment="1">
      <alignment horizontal="left" vertical="top" wrapText="1"/>
    </xf>
    <xf numFmtId="0" fontId="106" fillId="32" borderId="2" xfId="0" applyFont="1" applyFill="1" applyBorder="1" applyAlignment="1">
      <alignment horizontal="left" vertical="top" wrapText="1"/>
    </xf>
    <xf numFmtId="0" fontId="107" fillId="26" borderId="2" xfId="0" applyFont="1" applyFill="1" applyBorder="1" applyAlignment="1">
      <alignment horizontal="left" vertical="top" wrapText="1"/>
    </xf>
    <xf numFmtId="0" fontId="69" fillId="22" borderId="2" xfId="0" applyFont="1" applyFill="1" applyBorder="1" applyAlignment="1">
      <alignment horizontal="left" vertical="top" wrapText="1"/>
    </xf>
    <xf numFmtId="0" fontId="69" fillId="26" borderId="2" xfId="0" applyFont="1" applyFill="1" applyBorder="1" applyAlignment="1">
      <alignment horizontal="left" vertical="top" wrapText="1"/>
    </xf>
    <xf numFmtId="0" fontId="0" fillId="0" borderId="20" xfId="0" applyBorder="1"/>
    <xf numFmtId="0" fontId="12" fillId="8" borderId="2" xfId="0" applyFont="1" applyFill="1" applyBorder="1" applyAlignment="1">
      <alignment horizontal="center" vertical="center" textRotation="255" wrapText="1"/>
    </xf>
  </cellXfs>
  <cellStyles count="1">
    <cellStyle name="Normal" xfId="0" builtinId="0"/>
  </cellStyles>
  <dxfs count="21">
    <dxf>
      <fill>
        <patternFill patternType="solid">
          <fgColor indexed="64"/>
          <bgColor rgb="FFE8F5E9"/>
        </patternFill>
      </fill>
    </dxf>
    <dxf>
      <fill>
        <patternFill patternType="solid">
          <fgColor indexed="64"/>
          <bgColor rgb="FFFFFDE7"/>
        </patternFill>
      </fill>
    </dxf>
    <dxf>
      <fill>
        <patternFill patternType="solid">
          <fgColor indexed="64"/>
          <bgColor rgb="FFFFF3E0"/>
        </patternFill>
      </fill>
    </dxf>
    <dxf>
      <fill>
        <patternFill patternType="solid">
          <fgColor indexed="64"/>
          <bgColor rgb="FFFCE4EC"/>
        </patternFill>
      </fill>
    </dxf>
    <dxf>
      <fill>
        <patternFill patternType="solid">
          <fgColor indexed="64"/>
          <bgColor rgb="FFE8F5E9"/>
        </patternFill>
      </fill>
    </dxf>
    <dxf>
      <fill>
        <patternFill patternType="solid">
          <fgColor indexed="64"/>
          <bgColor rgb="FFFFFDE7"/>
        </patternFill>
      </fill>
    </dxf>
    <dxf>
      <fill>
        <patternFill patternType="solid">
          <fgColor indexed="64"/>
          <bgColor rgb="FFFFF3E0"/>
        </patternFill>
      </fill>
    </dxf>
    <dxf>
      <fill>
        <patternFill patternType="solid">
          <fgColor indexed="64"/>
          <bgColor rgb="FFFCE4EC"/>
        </patternFill>
      </fill>
    </dxf>
    <dxf>
      <fill>
        <patternFill patternType="solid">
          <fgColor indexed="64"/>
          <bgColor rgb="FFE8F5E9"/>
        </patternFill>
      </fill>
    </dxf>
    <dxf>
      <fill>
        <patternFill patternType="solid">
          <fgColor indexed="64"/>
          <bgColor rgb="FFFFFDE7"/>
        </patternFill>
      </fill>
    </dxf>
    <dxf>
      <fill>
        <patternFill patternType="solid">
          <fgColor indexed="64"/>
          <bgColor rgb="FFFFF3E0"/>
        </patternFill>
      </fill>
    </dxf>
    <dxf>
      <fill>
        <patternFill patternType="solid">
          <fgColor indexed="64"/>
          <bgColor rgb="FFFCE4EC"/>
        </patternFill>
      </fill>
    </dxf>
    <dxf>
      <fill>
        <patternFill patternType="solid">
          <fgColor indexed="64"/>
          <bgColor rgb="FFFFEF9C"/>
        </patternFill>
      </fill>
    </dxf>
    <dxf>
      <fill>
        <patternFill patternType="solid">
          <fgColor indexed="64"/>
          <bgColor rgb="FFFFC97E"/>
        </patternFill>
      </fill>
    </dxf>
    <dxf>
      <fill>
        <patternFill patternType="solid">
          <fgColor indexed="64"/>
          <bgColor rgb="FFFFB062"/>
        </patternFill>
      </fill>
    </dxf>
    <dxf>
      <fill>
        <patternFill patternType="solid">
          <fgColor indexed="64"/>
          <bgColor rgb="FFFF9045"/>
        </patternFill>
      </fill>
    </dxf>
    <dxf>
      <fill>
        <patternFill patternType="solid">
          <fgColor indexed="64"/>
          <bgColor rgb="FFFF7128"/>
        </patternFill>
      </fill>
    </dxf>
    <dxf>
      <font>
        <b/>
        <i val="0"/>
        <color rgb="FFFFFFFF"/>
      </font>
      <fill>
        <patternFill patternType="solid">
          <fgColor indexed="64"/>
          <bgColor rgb="FF28A745"/>
        </patternFill>
      </fill>
    </dxf>
    <dxf>
      <font>
        <b/>
        <i val="0"/>
        <color rgb="FF000000"/>
      </font>
      <fill>
        <patternFill patternType="solid">
          <fgColor indexed="64"/>
          <bgColor rgb="FFFFC107"/>
        </patternFill>
      </fill>
    </dxf>
    <dxf>
      <font>
        <b/>
        <i val="0"/>
        <color rgb="FFFFFFFF"/>
      </font>
      <fill>
        <patternFill patternType="solid">
          <fgColor indexed="64"/>
          <bgColor rgb="FFFF8C00"/>
        </patternFill>
      </fill>
    </dxf>
    <dxf>
      <font>
        <b/>
        <i val="0"/>
        <color rgb="FFFFFFFF"/>
      </font>
      <fill>
        <patternFill patternType="solid">
          <fgColor indexed="64"/>
          <bgColor rgb="FFFF444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35116"/>
      <rgbColor rgb="FF800080"/>
      <rgbColor rgb="FF1E8449"/>
      <rgbColor rgb="FFBDC3C7"/>
      <rgbColor rgb="FF7F8C8D"/>
      <rgbColor rgb="FF9999FF"/>
      <rgbColor rgb="FF8E44AD"/>
      <rgbColor rgb="FFFDEBD0"/>
      <rgbColor rgb="FFD4EFDF"/>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2F3F4"/>
      <rgbColor rgb="FF99CCFF"/>
      <rgbColor rgb="FFFF99CC"/>
      <rgbColor rgb="FFCC99FF"/>
      <rgbColor rgb="FFFADBD8"/>
      <rgbColor rgb="FF2E86C1"/>
      <rgbColor rgb="FF33CCCC"/>
      <rgbColor rgb="FF99CC00"/>
      <rgbColor rgb="FFFFCC00"/>
      <rgbColor rgb="FFF39C12"/>
      <rgbColor rgb="FFE74C3C"/>
      <rgbColor rgb="FF566573"/>
      <rgbColor rgb="FF969696"/>
      <rgbColor rgb="FF1B3A4B"/>
      <rgbColor rgb="FF27AE60"/>
      <rgbColor rgb="FF003300"/>
      <rgbColor rgb="FF333300"/>
      <rgbColor rgb="FF922B21"/>
      <rgbColor rgb="FFC0392B"/>
      <rgbColor rgb="FF1A5276"/>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Assessment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'Compliance Dashboard'!$I$9</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'Compliance Dashboard'!$H$10:$H$14</c:f>
              <c:strCache>
                <c:ptCount val="5"/>
                <c:pt idx="0">
                  <c:v>Compliant</c:v>
                </c:pt>
                <c:pt idx="1">
                  <c:v>Partially Compliant</c:v>
                </c:pt>
                <c:pt idx="2">
                  <c:v>Non-Compliant</c:v>
                </c:pt>
                <c:pt idx="3">
                  <c:v>Not Applicable</c:v>
                </c:pt>
                <c:pt idx="4">
                  <c:v>Not Yet Assessed</c:v>
                </c:pt>
              </c:strCache>
            </c:strRef>
          </c:cat>
          <c:val>
            <c:numRef>
              <c:f>'Compliance Dashboard'!$I$10:$I$14</c:f>
              <c:numCache>
                <c:formatCode>General</c:formatCode>
                <c:ptCount val="5"/>
                <c:pt idx="0">
                  <c:v>2</c:v>
                </c:pt>
                <c:pt idx="1">
                  <c:v>4</c:v>
                </c:pt>
                <c:pt idx="2">
                  <c:v>3</c:v>
                </c:pt>
                <c:pt idx="3">
                  <c:v>1</c:v>
                </c:pt>
                <c:pt idx="4">
                  <c:v>63</c:v>
                </c:pt>
              </c:numCache>
            </c:numRef>
          </c:val>
          <c:extLst>
            <c:ext xmlns:c16="http://schemas.microsoft.com/office/drawing/2014/chart" uri="{C3380CC4-5D6E-409C-BE32-E72D297353CC}">
              <c16:uniqueId val="{00000000-0325-4636-B894-5C7A359333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Maturity (L0–L4)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'Compliance Dashboard'!$B$24</c:f>
              <c:strCache>
                <c:ptCount val="1"/>
                <c:pt idx="0">
                  <c:v>Controls</c:v>
                </c:pt>
              </c:strCache>
            </c:strRef>
          </c:tx>
          <c:spPr>
            <a:solidFill>
              <a:schemeClr val="accent1"/>
            </a:solidFill>
            <a:ln>
              <a:noFill/>
            </a:ln>
            <a:effectLst/>
          </c:spPr>
          <c:invertIfNegative val="0"/>
          <c:cat>
            <c:strRef>
              <c:f>'Compliance Dashboard'!$A$25:$A$36</c:f>
              <c:strCache>
                <c:ptCount val="12"/>
                <c:pt idx="0">
                  <c:v>Consent &amp; Notice</c:v>
                </c:pt>
                <c:pt idx="1">
                  <c:v>Security Safeguards</c:v>
                </c:pt>
                <c:pt idx="2">
                  <c:v>Breach Notification</c:v>
                </c:pt>
                <c:pt idx="3">
                  <c:v>Data Principal Rights</c:v>
                </c:pt>
                <c:pt idx="4">
                  <c:v>Consent Manager</c:v>
                </c:pt>
                <c:pt idx="5">
                  <c:v>Retention &amp; Erasure</c:v>
                </c:pt>
                <c:pt idx="6">
                  <c:v>Children &amp; Exemptions</c:v>
                </c:pt>
                <c:pt idx="7">
                  <c:v>SDF Obligations</c:v>
                </c:pt>
                <c:pt idx="8">
                  <c:v>Cross-Border Transfer</c:v>
                </c:pt>
                <c:pt idx="9">
                  <c:v>Research &amp; Archiving</c:v>
                </c:pt>
                <c:pt idx="10">
                  <c:v>Contact &amp; Publication</c:v>
                </c:pt>
                <c:pt idx="11">
                  <c:v>Govt. Information Requests</c:v>
                </c:pt>
              </c:strCache>
            </c:strRef>
          </c:cat>
          <c:val>
            <c:numRef>
              <c:f>'Compliance Dashboard'!$B$25:$B$36</c:f>
              <c:numCache>
                <c:formatCode>General</c:formatCode>
                <c:ptCount val="12"/>
                <c:pt idx="0">
                  <c:v>5</c:v>
                </c:pt>
                <c:pt idx="1">
                  <c:v>7</c:v>
                </c:pt>
                <c:pt idx="2">
                  <c:v>7</c:v>
                </c:pt>
                <c:pt idx="3">
                  <c:v>8</c:v>
                </c:pt>
                <c:pt idx="4">
                  <c:v>6</c:v>
                </c:pt>
                <c:pt idx="5">
                  <c:v>5</c:v>
                </c:pt>
                <c:pt idx="6">
                  <c:v>16</c:v>
                </c:pt>
                <c:pt idx="7">
                  <c:v>7</c:v>
                </c:pt>
                <c:pt idx="8">
                  <c:v>2</c:v>
                </c:pt>
                <c:pt idx="9">
                  <c:v>7</c:v>
                </c:pt>
                <c:pt idx="10">
                  <c:v>2</c:v>
                </c:pt>
                <c:pt idx="11">
                  <c:v>1</c:v>
                </c:pt>
              </c:numCache>
            </c:numRef>
          </c:val>
          <c:extLst>
            <c:ext xmlns:c16="http://schemas.microsoft.com/office/drawing/2014/chart" uri="{C3380CC4-5D6E-409C-BE32-E72D297353CC}">
              <c16:uniqueId val="{00000000-381C-42FC-BBEE-1847DBBF2C79}"/>
            </c:ext>
          </c:extLst>
        </c:ser>
        <c:ser>
          <c:idx val="1"/>
          <c:order val="1"/>
          <c:tx>
            <c:strRef>
              <c:f>'Compliance Dashboard'!$C$24</c:f>
              <c:strCache>
                <c:ptCount val="1"/>
                <c:pt idx="0">
                  <c:v>Avg Maturity</c:v>
                </c:pt>
              </c:strCache>
            </c:strRef>
          </c:tx>
          <c:spPr>
            <a:solidFill>
              <a:schemeClr val="accent2"/>
            </a:solidFill>
            <a:ln>
              <a:noFill/>
            </a:ln>
            <a:effectLst/>
          </c:spPr>
          <c:invertIfNegative val="0"/>
          <c:cat>
            <c:strRef>
              <c:f>'Compliance Dashboard'!$A$25:$A$36</c:f>
              <c:strCache>
                <c:ptCount val="12"/>
                <c:pt idx="0">
                  <c:v>Consent &amp; Notice</c:v>
                </c:pt>
                <c:pt idx="1">
                  <c:v>Security Safeguards</c:v>
                </c:pt>
                <c:pt idx="2">
                  <c:v>Breach Notification</c:v>
                </c:pt>
                <c:pt idx="3">
                  <c:v>Data Principal Rights</c:v>
                </c:pt>
                <c:pt idx="4">
                  <c:v>Consent Manager</c:v>
                </c:pt>
                <c:pt idx="5">
                  <c:v>Retention &amp; Erasure</c:v>
                </c:pt>
                <c:pt idx="6">
                  <c:v>Children &amp; Exemptions</c:v>
                </c:pt>
                <c:pt idx="7">
                  <c:v>SDF Obligations</c:v>
                </c:pt>
                <c:pt idx="8">
                  <c:v>Cross-Border Transfer</c:v>
                </c:pt>
                <c:pt idx="9">
                  <c:v>Research &amp; Archiving</c:v>
                </c:pt>
                <c:pt idx="10">
                  <c:v>Contact &amp; Publication</c:v>
                </c:pt>
                <c:pt idx="11">
                  <c:v>Govt. Information Requests</c:v>
                </c:pt>
              </c:strCache>
            </c:strRef>
          </c:cat>
          <c:val>
            <c:numRef>
              <c:f>'Compliance Dashboard'!$C$25:$C$36</c:f>
              <c:numCache>
                <c:formatCode>0.0</c:formatCode>
                <c:ptCount val="12"/>
                <c:pt idx="0">
                  <c:v>1.5</c:v>
                </c:pt>
                <c:pt idx="1">
                  <c:v>2</c:v>
                </c:pt>
                <c:pt idx="2">
                  <c:v>0</c:v>
                </c:pt>
                <c:pt idx="3">
                  <c:v>2</c:v>
                </c:pt>
                <c:pt idx="4">
                  <c:v>0</c:v>
                </c:pt>
                <c:pt idx="5">
                  <c:v>3</c:v>
                </c:pt>
                <c:pt idx="6">
                  <c:v>0</c:v>
                </c:pt>
                <c:pt idx="7">
                  <c:v>0</c:v>
                </c:pt>
                <c:pt idx="8">
                  <c:v>1</c:v>
                </c:pt>
                <c:pt idx="9">
                  <c:v>0</c:v>
                </c:pt>
                <c:pt idx="10">
                  <c:v>4</c:v>
                </c:pt>
                <c:pt idx="11">
                  <c:v>0</c:v>
                </c:pt>
              </c:numCache>
            </c:numRef>
          </c:val>
          <c:extLst>
            <c:ext xmlns:c16="http://schemas.microsoft.com/office/drawing/2014/chart" uri="{C3380CC4-5D6E-409C-BE32-E72D297353CC}">
              <c16:uniqueId val="{00000001-381C-42FC-BBEE-1847DBBF2C79}"/>
            </c:ext>
          </c:extLst>
        </c:ser>
        <c:dLbls>
          <c:showLegendKey val="0"/>
          <c:showVal val="0"/>
          <c:showCatName val="0"/>
          <c:showSerName val="0"/>
          <c:showPercent val="0"/>
          <c:showBubbleSize val="0"/>
        </c:dLbls>
        <c:gapWidth val="182"/>
        <c:axId val="1071489600"/>
        <c:axId val="1071490560"/>
      </c:barChart>
      <c:catAx>
        <c:axId val="107148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490560"/>
        <c:crosses val="autoZero"/>
        <c:auto val="1"/>
        <c:lblAlgn val="ctr"/>
        <c:lblOffset val="100"/>
        <c:noMultiLvlLbl val="0"/>
      </c:catAx>
      <c:valAx>
        <c:axId val="107149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48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45720</xdr:colOff>
      <xdr:row>6</xdr:row>
      <xdr:rowOff>167640</xdr:rowOff>
    </xdr:from>
    <xdr:to>
      <xdr:col>10</xdr:col>
      <xdr:colOff>472440</xdr:colOff>
      <xdr:row>20</xdr:row>
      <xdr:rowOff>27940</xdr:rowOff>
    </xdr:to>
    <xdr:graphicFrame macro="">
      <xdr:nvGraphicFramePr>
        <xdr:cNvPr id="2" name="Chart 1">
          <a:extLst>
            <a:ext uri="{FF2B5EF4-FFF2-40B4-BE49-F238E27FC236}">
              <a16:creationId xmlns:a16="http://schemas.microsoft.com/office/drawing/2014/main" id="{42583F7B-2479-B942-35CC-682F39AE9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21</xdr:row>
      <xdr:rowOff>236220</xdr:rowOff>
    </xdr:from>
    <xdr:to>
      <xdr:col>10</xdr:col>
      <xdr:colOff>464820</xdr:colOff>
      <xdr:row>36</xdr:row>
      <xdr:rowOff>5080</xdr:rowOff>
    </xdr:to>
    <xdr:graphicFrame macro="">
      <xdr:nvGraphicFramePr>
        <xdr:cNvPr id="3" name="Chart 2">
          <a:extLst>
            <a:ext uri="{FF2B5EF4-FFF2-40B4-BE49-F238E27FC236}">
              <a16:creationId xmlns:a16="http://schemas.microsoft.com/office/drawing/2014/main" id="{E555468C-7F4F-D1DA-AE12-662DD9218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BB346B-9BA8-443D-8059-76A789A12E83}">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1B3A4B"/>
    <pageSetUpPr fitToPage="1"/>
  </sheetPr>
  <dimension ref="B1:D101"/>
  <sheetViews>
    <sheetView tabSelected="1" zoomScaleNormal="100" workbookViewId="0">
      <pane xSplit="1" ySplit="3" topLeftCell="B10" activePane="bottomRight" state="frozen"/>
      <selection pane="topRight" activeCell="B1" sqref="B1"/>
      <selection pane="bottomLeft" activeCell="A4" sqref="A4"/>
      <selection pane="bottomRight" activeCell="B12" sqref="B12"/>
    </sheetView>
  </sheetViews>
  <sheetFormatPr defaultColWidth="8.6640625" defaultRowHeight="14.4" x14ac:dyDescent="0.3"/>
  <cols>
    <col min="1" max="1" width="3" customWidth="1"/>
    <col min="2" max="2" width="11.21875" customWidth="1"/>
    <col min="3" max="3" width="28" customWidth="1"/>
    <col min="4" max="4" width="72" customWidth="1"/>
    <col min="5" max="5" width="3" customWidth="1"/>
  </cols>
  <sheetData>
    <row r="1" spans="2:4" ht="43.5" customHeight="1" x14ac:dyDescent="0.3">
      <c r="B1" s="14" t="s">
        <v>0</v>
      </c>
      <c r="C1" s="14"/>
      <c r="D1" s="14"/>
    </row>
    <row r="2" spans="2:4" ht="21.75" customHeight="1" x14ac:dyDescent="0.3">
      <c r="B2" s="13" t="s">
        <v>1</v>
      </c>
      <c r="C2" s="13"/>
      <c r="D2" s="13"/>
    </row>
    <row r="4" spans="2:4" ht="30" customHeight="1" x14ac:dyDescent="0.3">
      <c r="B4" s="12" t="s">
        <v>2</v>
      </c>
      <c r="C4" s="12"/>
      <c r="D4" s="12"/>
    </row>
    <row r="5" spans="2:4" ht="51.75" customHeight="1" x14ac:dyDescent="0.3">
      <c r="C5" s="15" t="s">
        <v>3</v>
      </c>
      <c r="D5" s="16" t="s">
        <v>4</v>
      </c>
    </row>
    <row r="6" spans="2:4" ht="51.75" customHeight="1" x14ac:dyDescent="0.3">
      <c r="C6" s="17" t="s">
        <v>5</v>
      </c>
      <c r="D6" s="18" t="s">
        <v>6</v>
      </c>
    </row>
    <row r="7" spans="2:4" ht="43.5" customHeight="1" x14ac:dyDescent="0.3">
      <c r="C7" s="15" t="s">
        <v>7</v>
      </c>
      <c r="D7" s="16" t="s">
        <v>8</v>
      </c>
    </row>
    <row r="8" spans="2:4" ht="51.75" customHeight="1" x14ac:dyDescent="0.3">
      <c r="C8" s="17" t="s">
        <v>9</v>
      </c>
      <c r="D8" s="18" t="s">
        <v>2588</v>
      </c>
    </row>
    <row r="9" spans="2:4" ht="9.75" customHeight="1" x14ac:dyDescent="0.3"/>
    <row r="10" spans="2:4" ht="30" customHeight="1" x14ac:dyDescent="0.3">
      <c r="B10" s="12" t="s">
        <v>10</v>
      </c>
      <c r="C10" s="12"/>
      <c r="D10" s="12"/>
    </row>
    <row r="11" spans="2:4" ht="36" customHeight="1" x14ac:dyDescent="0.3">
      <c r="B11" s="11" t="s">
        <v>11</v>
      </c>
      <c r="C11" s="11"/>
      <c r="D11" s="11"/>
    </row>
    <row r="12" spans="2:4" ht="72" customHeight="1" x14ac:dyDescent="0.3">
      <c r="B12" s="19" t="s">
        <v>12</v>
      </c>
      <c r="C12" s="20" t="s">
        <v>13</v>
      </c>
      <c r="D12" s="21" t="s">
        <v>14</v>
      </c>
    </row>
    <row r="13" spans="2:4" ht="72" customHeight="1" x14ac:dyDescent="0.3">
      <c r="B13" s="22" t="s">
        <v>15</v>
      </c>
      <c r="C13" s="20" t="s">
        <v>16</v>
      </c>
      <c r="D13" s="21" t="s">
        <v>17</v>
      </c>
    </row>
    <row r="14" spans="2:4" ht="72" customHeight="1" x14ac:dyDescent="0.3">
      <c r="B14" s="23" t="s">
        <v>18</v>
      </c>
      <c r="C14" s="20" t="s">
        <v>2587</v>
      </c>
      <c r="D14" s="21" t="s">
        <v>19</v>
      </c>
    </row>
    <row r="15" spans="2:4" ht="72" customHeight="1" x14ac:dyDescent="0.3">
      <c r="B15" s="24" t="s">
        <v>20</v>
      </c>
      <c r="C15" s="20" t="s">
        <v>21</v>
      </c>
      <c r="D15" s="21" t="s">
        <v>22</v>
      </c>
    </row>
    <row r="16" spans="2:4" ht="72" customHeight="1" x14ac:dyDescent="0.3">
      <c r="B16" s="25" t="s">
        <v>23</v>
      </c>
      <c r="C16" s="20" t="s">
        <v>24</v>
      </c>
      <c r="D16" s="21" t="s">
        <v>25</v>
      </c>
    </row>
    <row r="17" spans="2:4" ht="72" customHeight="1" x14ac:dyDescent="0.3">
      <c r="B17" s="26" t="s">
        <v>26</v>
      </c>
      <c r="C17" s="20" t="s">
        <v>27</v>
      </c>
      <c r="D17" s="21" t="s">
        <v>28</v>
      </c>
    </row>
    <row r="18" spans="2:4" ht="36" customHeight="1" x14ac:dyDescent="0.3">
      <c r="B18" s="27" t="s">
        <v>29</v>
      </c>
      <c r="C18" s="10" t="s">
        <v>30</v>
      </c>
      <c r="D18" s="10"/>
    </row>
    <row r="19" spans="2:4" ht="9.75" customHeight="1" x14ac:dyDescent="0.3"/>
    <row r="20" spans="2:4" ht="30" customHeight="1" x14ac:dyDescent="0.3">
      <c r="B20" s="12" t="s">
        <v>31</v>
      </c>
      <c r="C20" s="12"/>
      <c r="D20" s="12"/>
    </row>
    <row r="21" spans="2:4" ht="30" customHeight="1" x14ac:dyDescent="0.3">
      <c r="B21" s="11" t="s">
        <v>32</v>
      </c>
      <c r="C21" s="11"/>
      <c r="D21" s="11"/>
    </row>
    <row r="22" spans="2:4" ht="25.5" customHeight="1" x14ac:dyDescent="0.3">
      <c r="B22" s="9" t="s">
        <v>33</v>
      </c>
      <c r="C22" s="8" t="s">
        <v>34</v>
      </c>
      <c r="D22" s="8"/>
    </row>
    <row r="23" spans="2:4" ht="47.4" customHeight="1" x14ac:dyDescent="0.3">
      <c r="B23" s="9"/>
      <c r="C23" s="7" t="s">
        <v>35</v>
      </c>
      <c r="D23" s="7"/>
    </row>
    <row r="24" spans="2:4" ht="46.8" customHeight="1" x14ac:dyDescent="0.3">
      <c r="B24" s="9"/>
      <c r="C24" s="7" t="s">
        <v>36</v>
      </c>
      <c r="D24" s="7"/>
    </row>
    <row r="25" spans="2:4" ht="40.799999999999997" customHeight="1" x14ac:dyDescent="0.3">
      <c r="B25" s="9"/>
      <c r="C25" s="7" t="s">
        <v>37</v>
      </c>
      <c r="D25" s="7"/>
    </row>
    <row r="26" spans="2:4" ht="21.75" customHeight="1" x14ac:dyDescent="0.3">
      <c r="B26" s="9"/>
      <c r="C26" s="6" t="s">
        <v>38</v>
      </c>
      <c r="D26" s="6"/>
    </row>
    <row r="27" spans="2:4" ht="21.75" customHeight="1" x14ac:dyDescent="0.3">
      <c r="B27" s="9"/>
      <c r="C27" s="5" t="s">
        <v>39</v>
      </c>
      <c r="D27" s="5"/>
    </row>
    <row r="28" spans="2:4" ht="36" customHeight="1" x14ac:dyDescent="0.3">
      <c r="B28" s="27" t="s">
        <v>40</v>
      </c>
      <c r="C28" s="10" t="s">
        <v>41</v>
      </c>
      <c r="D28" s="10"/>
    </row>
    <row r="29" spans="2:4" ht="6" customHeight="1" x14ac:dyDescent="0.3"/>
    <row r="30" spans="2:4" ht="25.5" customHeight="1" x14ac:dyDescent="0.3">
      <c r="B30" s="264" t="s">
        <v>42</v>
      </c>
      <c r="C30" s="8" t="s">
        <v>43</v>
      </c>
      <c r="D30" s="8"/>
    </row>
    <row r="31" spans="2:4" ht="45" customHeight="1" x14ac:dyDescent="0.3">
      <c r="B31" s="264"/>
      <c r="C31" s="7" t="s">
        <v>44</v>
      </c>
      <c r="D31" s="7"/>
    </row>
    <row r="32" spans="2:4" ht="50.4" customHeight="1" x14ac:dyDescent="0.3">
      <c r="B32" s="264"/>
      <c r="C32" s="7" t="s">
        <v>45</v>
      </c>
      <c r="D32" s="7"/>
    </row>
    <row r="33" spans="2:4" ht="51" customHeight="1" x14ac:dyDescent="0.3">
      <c r="B33" s="264"/>
      <c r="C33" s="7" t="s">
        <v>46</v>
      </c>
      <c r="D33" s="7"/>
    </row>
    <row r="34" spans="2:4" ht="21.75" customHeight="1" x14ac:dyDescent="0.3">
      <c r="B34" s="264"/>
      <c r="C34" s="6" t="s">
        <v>47</v>
      </c>
      <c r="D34" s="6"/>
    </row>
    <row r="35" spans="2:4" ht="21.75" customHeight="1" x14ac:dyDescent="0.3">
      <c r="B35" s="264"/>
      <c r="C35" s="5" t="s">
        <v>48</v>
      </c>
      <c r="D35" s="5"/>
    </row>
    <row r="36" spans="2:4" ht="36" customHeight="1" x14ac:dyDescent="0.3">
      <c r="B36" s="28" t="s">
        <v>49</v>
      </c>
      <c r="C36" s="4" t="s">
        <v>50</v>
      </c>
      <c r="D36" s="4"/>
    </row>
    <row r="37" spans="2:4" ht="6" customHeight="1" x14ac:dyDescent="0.3"/>
    <row r="38" spans="2:4" ht="25.5" customHeight="1" x14ac:dyDescent="0.3">
      <c r="B38" s="9" t="s">
        <v>51</v>
      </c>
      <c r="C38" s="8" t="s">
        <v>52</v>
      </c>
      <c r="D38" s="8"/>
    </row>
    <row r="39" spans="2:4" ht="21.75" customHeight="1" x14ac:dyDescent="0.3">
      <c r="B39" s="9"/>
      <c r="C39" s="7" t="s">
        <v>2584</v>
      </c>
      <c r="D39" s="7"/>
    </row>
    <row r="40" spans="2:4" ht="21.75" customHeight="1" x14ac:dyDescent="0.3">
      <c r="B40" s="9"/>
      <c r="C40" s="7" t="s">
        <v>53</v>
      </c>
      <c r="D40" s="7"/>
    </row>
    <row r="41" spans="2:4" ht="21.75" customHeight="1" x14ac:dyDescent="0.3">
      <c r="B41" s="9"/>
      <c r="C41" s="7" t="s">
        <v>54</v>
      </c>
      <c r="D41" s="7"/>
    </row>
    <row r="42" spans="2:4" ht="21.75" customHeight="1" x14ac:dyDescent="0.3">
      <c r="B42" s="9"/>
      <c r="C42" s="6" t="s">
        <v>55</v>
      </c>
      <c r="D42" s="6"/>
    </row>
    <row r="43" spans="2:4" ht="21.75" customHeight="1" x14ac:dyDescent="0.3">
      <c r="B43" s="9"/>
      <c r="C43" s="5" t="s">
        <v>56</v>
      </c>
      <c r="D43" s="5"/>
    </row>
    <row r="44" spans="2:4" ht="36" customHeight="1" x14ac:dyDescent="0.3">
      <c r="B44" s="27" t="s">
        <v>29</v>
      </c>
      <c r="C44" s="10" t="s">
        <v>57</v>
      </c>
      <c r="D44" s="10"/>
    </row>
    <row r="45" spans="2:4" ht="6" customHeight="1" x14ac:dyDescent="0.3"/>
    <row r="46" spans="2:4" ht="25.5" customHeight="1" x14ac:dyDescent="0.3">
      <c r="B46" s="9" t="s">
        <v>58</v>
      </c>
      <c r="C46" s="8" t="s">
        <v>59</v>
      </c>
      <c r="D46" s="8"/>
    </row>
    <row r="47" spans="2:4" ht="21.75" customHeight="1" x14ac:dyDescent="0.3">
      <c r="B47" s="9"/>
      <c r="C47" s="7" t="s">
        <v>2585</v>
      </c>
      <c r="D47" s="7"/>
    </row>
    <row r="48" spans="2:4" ht="21.75" customHeight="1" x14ac:dyDescent="0.3">
      <c r="B48" s="9"/>
      <c r="C48" s="7" t="s">
        <v>60</v>
      </c>
      <c r="D48" s="7"/>
    </row>
    <row r="49" spans="2:4" ht="21.75" customHeight="1" x14ac:dyDescent="0.3">
      <c r="B49" s="9"/>
      <c r="C49" s="7" t="s">
        <v>61</v>
      </c>
      <c r="D49" s="7"/>
    </row>
    <row r="50" spans="2:4" ht="21.75" customHeight="1" x14ac:dyDescent="0.3">
      <c r="B50" s="9"/>
      <c r="C50" s="6" t="s">
        <v>62</v>
      </c>
      <c r="D50" s="6"/>
    </row>
    <row r="51" spans="2:4" ht="21.75" customHeight="1" x14ac:dyDescent="0.3">
      <c r="B51" s="9"/>
      <c r="C51" s="5" t="s">
        <v>63</v>
      </c>
      <c r="D51" s="5"/>
    </row>
    <row r="52" spans="2:4" ht="36" customHeight="1" x14ac:dyDescent="0.3">
      <c r="B52" s="27" t="s">
        <v>40</v>
      </c>
      <c r="C52" s="10" t="s">
        <v>64</v>
      </c>
      <c r="D52" s="10"/>
    </row>
    <row r="53" spans="2:4" ht="6" customHeight="1" x14ac:dyDescent="0.3"/>
    <row r="54" spans="2:4" ht="25.5" customHeight="1" x14ac:dyDescent="0.3">
      <c r="B54" s="9" t="s">
        <v>65</v>
      </c>
      <c r="C54" s="8" t="s">
        <v>66</v>
      </c>
      <c r="D54" s="8"/>
    </row>
    <row r="55" spans="2:4" ht="21.75" customHeight="1" x14ac:dyDescent="0.3">
      <c r="B55" s="9"/>
      <c r="C55" s="7" t="s">
        <v>67</v>
      </c>
      <c r="D55" s="7"/>
    </row>
    <row r="56" spans="2:4" ht="21.75" customHeight="1" x14ac:dyDescent="0.3">
      <c r="B56" s="9"/>
      <c r="C56" s="7" t="s">
        <v>68</v>
      </c>
      <c r="D56" s="7"/>
    </row>
    <row r="57" spans="2:4" ht="21.75" customHeight="1" x14ac:dyDescent="0.3">
      <c r="B57" s="9"/>
      <c r="C57" s="7" t="s">
        <v>69</v>
      </c>
      <c r="D57" s="7"/>
    </row>
    <row r="58" spans="2:4" ht="21.75" customHeight="1" x14ac:dyDescent="0.3">
      <c r="B58" s="9"/>
      <c r="C58" s="6" t="s">
        <v>70</v>
      </c>
      <c r="D58" s="6"/>
    </row>
    <row r="59" spans="2:4" ht="21.75" customHeight="1" x14ac:dyDescent="0.3">
      <c r="B59" s="9"/>
      <c r="C59" s="5" t="s">
        <v>71</v>
      </c>
      <c r="D59" s="5"/>
    </row>
    <row r="60" spans="2:4" ht="6" customHeight="1" x14ac:dyDescent="0.3"/>
    <row r="61" spans="2:4" ht="25.5" customHeight="1" x14ac:dyDescent="0.3">
      <c r="B61" s="9" t="s">
        <v>72</v>
      </c>
      <c r="C61" s="8" t="s">
        <v>73</v>
      </c>
      <c r="D61" s="8"/>
    </row>
    <row r="62" spans="2:4" ht="21.75" customHeight="1" x14ac:dyDescent="0.3">
      <c r="B62" s="9"/>
      <c r="C62" s="7" t="s">
        <v>2586</v>
      </c>
      <c r="D62" s="7"/>
    </row>
    <row r="63" spans="2:4" ht="21.75" customHeight="1" x14ac:dyDescent="0.3">
      <c r="B63" s="9"/>
      <c r="C63" s="7" t="s">
        <v>74</v>
      </c>
      <c r="D63" s="7"/>
    </row>
    <row r="64" spans="2:4" ht="21.75" customHeight="1" x14ac:dyDescent="0.3">
      <c r="B64" s="9"/>
      <c r="C64" s="7" t="s">
        <v>75</v>
      </c>
      <c r="D64" s="7"/>
    </row>
    <row r="65" spans="2:4" ht="21.75" customHeight="1" x14ac:dyDescent="0.3">
      <c r="B65" s="9"/>
      <c r="C65" s="6" t="s">
        <v>76</v>
      </c>
      <c r="D65" s="6"/>
    </row>
    <row r="66" spans="2:4" ht="21.75" customHeight="1" x14ac:dyDescent="0.3">
      <c r="B66" s="9"/>
      <c r="C66" s="5" t="s">
        <v>77</v>
      </c>
      <c r="D66" s="5"/>
    </row>
    <row r="67" spans="2:4" ht="36" customHeight="1" x14ac:dyDescent="0.3">
      <c r="B67" s="28" t="s">
        <v>49</v>
      </c>
      <c r="C67" s="4" t="s">
        <v>78</v>
      </c>
      <c r="D67" s="4"/>
    </row>
    <row r="68" spans="2:4" ht="9.75" customHeight="1" x14ac:dyDescent="0.3"/>
    <row r="69" spans="2:4" ht="30" customHeight="1" x14ac:dyDescent="0.3">
      <c r="B69" s="12" t="s">
        <v>79</v>
      </c>
      <c r="C69" s="12"/>
      <c r="D69" s="12"/>
    </row>
    <row r="70" spans="2:4" ht="21.75" customHeight="1" x14ac:dyDescent="0.3">
      <c r="B70" s="29" t="s">
        <v>80</v>
      </c>
      <c r="C70" s="30" t="s">
        <v>81</v>
      </c>
      <c r="D70" s="30" t="s">
        <v>82</v>
      </c>
    </row>
    <row r="71" spans="2:4" ht="55.5" customHeight="1" x14ac:dyDescent="0.3">
      <c r="B71" s="31" t="s">
        <v>83</v>
      </c>
      <c r="C71" s="20" t="s">
        <v>84</v>
      </c>
      <c r="D71" s="20" t="s">
        <v>85</v>
      </c>
    </row>
    <row r="72" spans="2:4" ht="55.5" customHeight="1" x14ac:dyDescent="0.3">
      <c r="B72" s="32" t="s">
        <v>86</v>
      </c>
      <c r="C72" s="33" t="s">
        <v>87</v>
      </c>
      <c r="D72" s="33" t="s">
        <v>88</v>
      </c>
    </row>
    <row r="73" spans="2:4" ht="55.5" customHeight="1" x14ac:dyDescent="0.3">
      <c r="B73" s="31" t="s">
        <v>89</v>
      </c>
      <c r="C73" s="20" t="s">
        <v>90</v>
      </c>
      <c r="D73" s="20" t="s">
        <v>91</v>
      </c>
    </row>
    <row r="74" spans="2:4" ht="55.5" customHeight="1" x14ac:dyDescent="0.3">
      <c r="B74" s="32" t="s">
        <v>92</v>
      </c>
      <c r="C74" s="33" t="s">
        <v>93</v>
      </c>
      <c r="D74" s="33" t="s">
        <v>94</v>
      </c>
    </row>
    <row r="75" spans="2:4" ht="55.5" customHeight="1" x14ac:dyDescent="0.3">
      <c r="B75" s="31" t="s">
        <v>95</v>
      </c>
      <c r="C75" s="20" t="s">
        <v>96</v>
      </c>
      <c r="D75" s="20" t="s">
        <v>97</v>
      </c>
    </row>
    <row r="76" spans="2:4" ht="9.75" customHeight="1" x14ac:dyDescent="0.3"/>
    <row r="77" spans="2:4" ht="30" customHeight="1" x14ac:dyDescent="0.3">
      <c r="B77" s="12" t="s">
        <v>98</v>
      </c>
      <c r="C77" s="12"/>
      <c r="D77" s="12"/>
    </row>
    <row r="78" spans="2:4" ht="79.5" customHeight="1" x14ac:dyDescent="0.3">
      <c r="B78" s="34" t="s">
        <v>99</v>
      </c>
      <c r="C78" s="20" t="s">
        <v>100</v>
      </c>
      <c r="D78" s="35" t="s">
        <v>101</v>
      </c>
    </row>
    <row r="79" spans="2:4" ht="79.5" customHeight="1" x14ac:dyDescent="0.3">
      <c r="B79" s="34" t="s">
        <v>99</v>
      </c>
      <c r="C79" s="20" t="s">
        <v>102</v>
      </c>
      <c r="D79" s="35" t="s">
        <v>103</v>
      </c>
    </row>
    <row r="80" spans="2:4" ht="79.5" customHeight="1" x14ac:dyDescent="0.3">
      <c r="B80" s="34" t="s">
        <v>99</v>
      </c>
      <c r="C80" s="20" t="s">
        <v>104</v>
      </c>
      <c r="D80" s="35" t="s">
        <v>105</v>
      </c>
    </row>
    <row r="81" spans="2:4" ht="79.5" customHeight="1" x14ac:dyDescent="0.3">
      <c r="B81" s="34" t="s">
        <v>99</v>
      </c>
      <c r="C81" s="20" t="s">
        <v>106</v>
      </c>
      <c r="D81" s="35" t="s">
        <v>107</v>
      </c>
    </row>
    <row r="82" spans="2:4" ht="79.5" customHeight="1" x14ac:dyDescent="0.3">
      <c r="B82" s="34" t="s">
        <v>99</v>
      </c>
      <c r="C82" s="20" t="s">
        <v>108</v>
      </c>
      <c r="D82" s="35" t="s">
        <v>109</v>
      </c>
    </row>
    <row r="83" spans="2:4" ht="79.5" customHeight="1" x14ac:dyDescent="0.3">
      <c r="B83" s="34" t="s">
        <v>99</v>
      </c>
      <c r="C83" s="20" t="s">
        <v>110</v>
      </c>
      <c r="D83" s="35" t="s">
        <v>111</v>
      </c>
    </row>
    <row r="84" spans="2:4" ht="79.5" customHeight="1" x14ac:dyDescent="0.3">
      <c r="B84" s="34" t="s">
        <v>99</v>
      </c>
      <c r="C84" s="20" t="s">
        <v>112</v>
      </c>
      <c r="D84" s="35" t="s">
        <v>113</v>
      </c>
    </row>
    <row r="85" spans="2:4" ht="9.75" customHeight="1" x14ac:dyDescent="0.3"/>
    <row r="86" spans="2:4" ht="30" customHeight="1" x14ac:dyDescent="0.3">
      <c r="B86" s="12" t="s">
        <v>114</v>
      </c>
      <c r="C86" s="12"/>
      <c r="D86" s="12"/>
    </row>
    <row r="87" spans="2:4" ht="63.75" customHeight="1" x14ac:dyDescent="0.3">
      <c r="B87" s="36" t="s">
        <v>115</v>
      </c>
      <c r="C87" s="3" t="s">
        <v>116</v>
      </c>
      <c r="D87" s="3"/>
    </row>
    <row r="88" spans="2:4" ht="63.75" customHeight="1" x14ac:dyDescent="0.3">
      <c r="B88" s="37" t="s">
        <v>117</v>
      </c>
      <c r="C88" s="3" t="s">
        <v>118</v>
      </c>
      <c r="D88" s="3"/>
    </row>
    <row r="89" spans="2:4" ht="63.75" customHeight="1" x14ac:dyDescent="0.3">
      <c r="B89" s="38" t="s">
        <v>119</v>
      </c>
      <c r="C89" s="3" t="s">
        <v>120</v>
      </c>
      <c r="D89" s="3"/>
    </row>
    <row r="90" spans="2:4" ht="63.75" customHeight="1" x14ac:dyDescent="0.3">
      <c r="B90" s="39" t="s">
        <v>121</v>
      </c>
      <c r="C90" s="3" t="s">
        <v>122</v>
      </c>
      <c r="D90" s="3"/>
    </row>
    <row r="91" spans="2:4" ht="63.75" customHeight="1" x14ac:dyDescent="0.3">
      <c r="B91" s="36" t="s">
        <v>123</v>
      </c>
      <c r="C91" s="3" t="s">
        <v>124</v>
      </c>
      <c r="D91" s="3"/>
    </row>
    <row r="92" spans="2:4" ht="63.75" customHeight="1" x14ac:dyDescent="0.3">
      <c r="B92" s="40" t="s">
        <v>125</v>
      </c>
      <c r="C92" s="3" t="s">
        <v>126</v>
      </c>
      <c r="D92" s="3"/>
    </row>
    <row r="93" spans="2:4" ht="63.75" customHeight="1" x14ac:dyDescent="0.3">
      <c r="B93" s="41" t="s">
        <v>127</v>
      </c>
      <c r="C93" s="3" t="s">
        <v>128</v>
      </c>
      <c r="D93" s="3"/>
    </row>
    <row r="94" spans="2:4" ht="9.75" customHeight="1" x14ac:dyDescent="0.3"/>
    <row r="95" spans="2:4" ht="30" customHeight="1" x14ac:dyDescent="0.3">
      <c r="B95" s="12" t="s">
        <v>129</v>
      </c>
      <c r="C95" s="12"/>
      <c r="D95" s="12"/>
    </row>
    <row r="96" spans="2:4" ht="25.5" customHeight="1" x14ac:dyDescent="0.3">
      <c r="C96" s="15" t="s">
        <v>130</v>
      </c>
      <c r="D96" s="16" t="s">
        <v>131</v>
      </c>
    </row>
    <row r="97" spans="2:4" ht="60" customHeight="1" x14ac:dyDescent="0.3">
      <c r="C97" s="17" t="s">
        <v>132</v>
      </c>
      <c r="D97" s="18" t="s">
        <v>133</v>
      </c>
    </row>
    <row r="98" spans="2:4" ht="48" customHeight="1" x14ac:dyDescent="0.3">
      <c r="C98" s="15" t="s">
        <v>134</v>
      </c>
      <c r="D98" s="16" t="s">
        <v>135</v>
      </c>
    </row>
    <row r="99" spans="2:4" ht="48" customHeight="1" x14ac:dyDescent="0.3">
      <c r="C99" s="17" t="s">
        <v>136</v>
      </c>
      <c r="D99" s="18" t="s">
        <v>137</v>
      </c>
    </row>
    <row r="100" spans="2:4" ht="9.75" customHeight="1" x14ac:dyDescent="0.3"/>
    <row r="101" spans="2:4" ht="39.75" customHeight="1" x14ac:dyDescent="0.3">
      <c r="B101" s="2" t="s">
        <v>138</v>
      </c>
      <c r="C101" s="2"/>
      <c r="D101" s="2"/>
    </row>
  </sheetData>
  <mergeCells count="67">
    <mergeCell ref="C93:D93"/>
    <mergeCell ref="B95:D95"/>
    <mergeCell ref="B101:D101"/>
    <mergeCell ref="C88:D88"/>
    <mergeCell ref="C89:D89"/>
    <mergeCell ref="C90:D90"/>
    <mergeCell ref="C91:D91"/>
    <mergeCell ref="C92:D92"/>
    <mergeCell ref="C67:D67"/>
    <mergeCell ref="B69:D69"/>
    <mergeCell ref="B77:D77"/>
    <mergeCell ref="B86:D86"/>
    <mergeCell ref="C87:D87"/>
    <mergeCell ref="B61:B66"/>
    <mergeCell ref="C61:D61"/>
    <mergeCell ref="C62:D62"/>
    <mergeCell ref="C63:D63"/>
    <mergeCell ref="C64:D64"/>
    <mergeCell ref="C65:D65"/>
    <mergeCell ref="C66:D66"/>
    <mergeCell ref="C52:D52"/>
    <mergeCell ref="B54:B59"/>
    <mergeCell ref="C54:D54"/>
    <mergeCell ref="C55:D55"/>
    <mergeCell ref="C56:D56"/>
    <mergeCell ref="C57:D57"/>
    <mergeCell ref="C58:D58"/>
    <mergeCell ref="C59:D59"/>
    <mergeCell ref="C44:D44"/>
    <mergeCell ref="B46:B51"/>
    <mergeCell ref="C46:D46"/>
    <mergeCell ref="C47:D47"/>
    <mergeCell ref="C48:D48"/>
    <mergeCell ref="C49:D49"/>
    <mergeCell ref="C50:D50"/>
    <mergeCell ref="C51:D51"/>
    <mergeCell ref="C36:D36"/>
    <mergeCell ref="B38:B43"/>
    <mergeCell ref="C38:D38"/>
    <mergeCell ref="C39:D39"/>
    <mergeCell ref="C40:D40"/>
    <mergeCell ref="C41:D41"/>
    <mergeCell ref="C42:D42"/>
    <mergeCell ref="C43:D43"/>
    <mergeCell ref="C28:D28"/>
    <mergeCell ref="B30:B35"/>
    <mergeCell ref="C30:D30"/>
    <mergeCell ref="C31:D31"/>
    <mergeCell ref="C32:D32"/>
    <mergeCell ref="C33:D33"/>
    <mergeCell ref="C34:D34"/>
    <mergeCell ref="C35:D35"/>
    <mergeCell ref="C18:D18"/>
    <mergeCell ref="B20:D20"/>
    <mergeCell ref="B21:D21"/>
    <mergeCell ref="B22:B27"/>
    <mergeCell ref="C22:D22"/>
    <mergeCell ref="C23:D23"/>
    <mergeCell ref="C24:D24"/>
    <mergeCell ref="C25:D25"/>
    <mergeCell ref="C26:D26"/>
    <mergeCell ref="C27:D27"/>
    <mergeCell ref="B1:D1"/>
    <mergeCell ref="B2:D2"/>
    <mergeCell ref="B4:D4"/>
    <mergeCell ref="B10:D10"/>
    <mergeCell ref="B11:D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E86C1"/>
  </sheetPr>
  <dimension ref="A1:H41"/>
  <sheetViews>
    <sheetView topLeftCell="B1" zoomScaleNormal="100" workbookViewId="0">
      <pane ySplit="5" topLeftCell="A6" activePane="bottomLeft" state="frozen"/>
      <selection pane="bottomLeft" activeCell="B5" sqref="B5"/>
    </sheetView>
  </sheetViews>
  <sheetFormatPr defaultColWidth="8.6640625" defaultRowHeight="14.4" x14ac:dyDescent="0.3"/>
  <cols>
    <col min="1" max="1" width="13.88671875" customWidth="1"/>
    <col min="2" max="2" width="18" customWidth="1"/>
    <col min="3" max="3" width="52" customWidth="1"/>
    <col min="4" max="4" width="30" customWidth="1"/>
    <col min="5" max="5" width="16" customWidth="1"/>
    <col min="6" max="6" width="24" customWidth="1"/>
    <col min="7" max="7" width="32" customWidth="1"/>
    <col min="8" max="8" width="28" customWidth="1"/>
  </cols>
  <sheetData>
    <row r="1" spans="1:8" ht="36" customHeight="1" x14ac:dyDescent="0.3">
      <c r="A1" s="1" t="s">
        <v>139</v>
      </c>
      <c r="B1" s="1"/>
      <c r="C1" s="1"/>
      <c r="D1" s="1"/>
      <c r="E1" s="1"/>
      <c r="F1" s="1"/>
      <c r="G1" s="1"/>
      <c r="H1" s="1"/>
    </row>
    <row r="2" spans="1:8" ht="30" customHeight="1" x14ac:dyDescent="0.3">
      <c r="A2" s="51" t="s">
        <v>140</v>
      </c>
      <c r="B2" s="51"/>
      <c r="C2" s="51"/>
      <c r="D2" s="51"/>
      <c r="E2" s="51"/>
      <c r="F2" s="51"/>
      <c r="G2" s="51"/>
      <c r="H2" s="51"/>
    </row>
    <row r="3" spans="1:8" ht="30" customHeight="1" x14ac:dyDescent="0.3">
      <c r="A3" s="52" t="s">
        <v>141</v>
      </c>
      <c r="B3" s="52"/>
      <c r="C3" s="52"/>
      <c r="D3" s="52"/>
      <c r="E3" s="52"/>
      <c r="F3" s="52"/>
      <c r="G3" s="52"/>
      <c r="H3" s="52"/>
    </row>
    <row r="5" spans="1:8" ht="23.25" customHeight="1" x14ac:dyDescent="0.3">
      <c r="A5" s="42" t="s">
        <v>142</v>
      </c>
      <c r="B5" s="42" t="s">
        <v>143</v>
      </c>
      <c r="C5" s="42" t="s">
        <v>144</v>
      </c>
      <c r="D5" s="42" t="s">
        <v>145</v>
      </c>
      <c r="E5" s="42" t="s">
        <v>146</v>
      </c>
      <c r="F5" s="42" t="s">
        <v>147</v>
      </c>
      <c r="G5" s="42" t="s">
        <v>148</v>
      </c>
      <c r="H5" s="42" t="s">
        <v>149</v>
      </c>
    </row>
    <row r="6" spans="1:8" ht="21.75" customHeight="1" x14ac:dyDescent="0.3">
      <c r="A6" s="53" t="s">
        <v>150</v>
      </c>
      <c r="B6" s="53"/>
      <c r="C6" s="53"/>
      <c r="D6" s="53"/>
      <c r="E6" s="53"/>
      <c r="F6" s="53"/>
      <c r="G6" s="53"/>
      <c r="H6" s="53"/>
    </row>
    <row r="7" spans="1:8" ht="39.75" customHeight="1" x14ac:dyDescent="0.3">
      <c r="A7" s="43" t="s">
        <v>151</v>
      </c>
      <c r="B7" s="43" t="s">
        <v>152</v>
      </c>
      <c r="C7" s="43" t="s">
        <v>153</v>
      </c>
      <c r="D7" s="43" t="s">
        <v>154</v>
      </c>
      <c r="E7" s="43"/>
      <c r="F7" s="43" t="str">
        <f>IF(E7="Yes","Data Fiduciary (DF)","Not a DF — reassess role")</f>
        <v>Not a DF — reassess role</v>
      </c>
      <c r="G7" s="43" t="s">
        <v>155</v>
      </c>
      <c r="H7" s="43" t="s">
        <v>156</v>
      </c>
    </row>
    <row r="8" spans="1:8" ht="39.75" customHeight="1" x14ac:dyDescent="0.3">
      <c r="A8" s="44" t="s">
        <v>157</v>
      </c>
      <c r="B8" s="44" t="s">
        <v>152</v>
      </c>
      <c r="C8" s="44" t="s">
        <v>158</v>
      </c>
      <c r="D8" s="44" t="s">
        <v>159</v>
      </c>
      <c r="E8" s="44"/>
      <c r="F8" s="44" t="str">
        <f>IF(E8="Yes","SDF — enhanced obligations apply",IF(E8="Pending","Monitor notification status","Standard DF obligations"))</f>
        <v>Standard DF obligations</v>
      </c>
      <c r="G8" s="44" t="s">
        <v>160</v>
      </c>
      <c r="H8" s="44" t="s">
        <v>161</v>
      </c>
    </row>
    <row r="9" spans="1:8" ht="39.75" customHeight="1" x14ac:dyDescent="0.3">
      <c r="A9" s="43" t="s">
        <v>162</v>
      </c>
      <c r="B9" s="43" t="s">
        <v>152</v>
      </c>
      <c r="C9" s="43" t="s">
        <v>163</v>
      </c>
      <c r="D9" s="43" t="s">
        <v>154</v>
      </c>
      <c r="E9" s="43"/>
      <c r="F9" s="43" t="str">
        <f>IF(E9="Yes","Consent Manager registration + operating obligations apply","CM controls not applicable")</f>
        <v>CM controls not applicable</v>
      </c>
      <c r="G9" s="43" t="s">
        <v>164</v>
      </c>
      <c r="H9" s="43" t="s">
        <v>165</v>
      </c>
    </row>
    <row r="10" spans="1:8" ht="39.75" customHeight="1" x14ac:dyDescent="0.3">
      <c r="A10" s="44" t="s">
        <v>166</v>
      </c>
      <c r="B10" s="44" t="s">
        <v>152</v>
      </c>
      <c r="C10" s="44" t="s">
        <v>167</v>
      </c>
      <c r="D10" s="44" t="s">
        <v>154</v>
      </c>
      <c r="E10" s="44"/>
      <c r="F10" s="44" t="str">
        <f>IF(E10="Yes","Processor — contractual + security obligations via DF","Not a Processor")</f>
        <v>Not a Processor</v>
      </c>
      <c r="G10" s="44" t="s">
        <v>168</v>
      </c>
      <c r="H10" s="44" t="s">
        <v>169</v>
      </c>
    </row>
    <row r="11" spans="1:8" ht="39.75" customHeight="1" x14ac:dyDescent="0.3">
      <c r="A11" s="43" t="s">
        <v>170</v>
      </c>
      <c r="B11" s="43" t="s">
        <v>152</v>
      </c>
      <c r="C11" s="43" t="s">
        <v>171</v>
      </c>
      <c r="D11" s="43" t="s">
        <v>154</v>
      </c>
      <c r="E11" s="43"/>
      <c r="F11" s="43" t="str">
        <f>IF(E11="Yes","Third Schedule retention + erasure rules apply","Standard retention rules apply")</f>
        <v>Standard retention rules apply</v>
      </c>
      <c r="G11" s="43" t="s">
        <v>172</v>
      </c>
      <c r="H11" s="43" t="s">
        <v>173</v>
      </c>
    </row>
    <row r="12" spans="1:8" ht="21.75" customHeight="1" x14ac:dyDescent="0.3">
      <c r="A12" s="53" t="s">
        <v>174</v>
      </c>
      <c r="B12" s="53"/>
      <c r="C12" s="53"/>
      <c r="D12" s="53"/>
      <c r="E12" s="53"/>
      <c r="F12" s="53"/>
      <c r="G12" s="53"/>
      <c r="H12" s="53"/>
    </row>
    <row r="13" spans="1:8" ht="39.75" customHeight="1" x14ac:dyDescent="0.3">
      <c r="A13" s="43" t="s">
        <v>175</v>
      </c>
      <c r="B13" s="43" t="s">
        <v>176</v>
      </c>
      <c r="C13" s="43" t="s">
        <v>177</v>
      </c>
      <c r="D13" s="43" t="s">
        <v>154</v>
      </c>
      <c r="E13" s="43"/>
      <c r="F13" s="43" t="str">
        <f>IF(E13="Yes","Consent + Notice obligations apply","Assess if legitimate use applies")</f>
        <v>Assess if legitimate use applies</v>
      </c>
      <c r="G13" s="43" t="s">
        <v>178</v>
      </c>
      <c r="H13" s="43" t="s">
        <v>179</v>
      </c>
    </row>
    <row r="14" spans="1:8" ht="39.75" customHeight="1" x14ac:dyDescent="0.3">
      <c r="A14" s="44" t="s">
        <v>180</v>
      </c>
      <c r="B14" s="44" t="s">
        <v>176</v>
      </c>
      <c r="C14" s="44" t="s">
        <v>181</v>
      </c>
      <c r="D14" s="44" t="s">
        <v>154</v>
      </c>
      <c r="E14" s="44"/>
      <c r="F14" s="44" t="str">
        <f>IF(E14="Yes","Legitimate Use controls apply — document basis per Sec 7","Consent-only processing")</f>
        <v>Consent-only processing</v>
      </c>
      <c r="G14" s="44" t="s">
        <v>182</v>
      </c>
      <c r="H14" s="44" t="s">
        <v>183</v>
      </c>
    </row>
    <row r="15" spans="1:8" ht="39.75" customHeight="1" x14ac:dyDescent="0.3">
      <c r="A15" s="43" t="s">
        <v>184</v>
      </c>
      <c r="B15" s="43" t="s">
        <v>176</v>
      </c>
      <c r="C15" s="43" t="s">
        <v>185</v>
      </c>
      <c r="D15" s="43" t="s">
        <v>154</v>
      </c>
      <c r="E15" s="43"/>
      <c r="F15" s="43" t="str">
        <f>IF(E15="Yes","CRITICAL: Enhanced child/PWD data controls apply","Child data controls not required")</f>
        <v>Child data controls not required</v>
      </c>
      <c r="G15" s="43" t="s">
        <v>186</v>
      </c>
      <c r="H15" s="43" t="s">
        <v>187</v>
      </c>
    </row>
    <row r="16" spans="1:8" ht="39.75" customHeight="1" x14ac:dyDescent="0.3">
      <c r="A16" s="44" t="s">
        <v>188</v>
      </c>
      <c r="B16" s="44" t="s">
        <v>176</v>
      </c>
      <c r="C16" s="44" t="s">
        <v>189</v>
      </c>
      <c r="D16" s="44" t="s">
        <v>154</v>
      </c>
      <c r="E16" s="44"/>
      <c r="F16" s="44" t="str">
        <f>IF(E16="Yes","Cross-border transfer controls + adequacy assessment required","Domestic processing only")</f>
        <v>Domestic processing only</v>
      </c>
      <c r="G16" s="44" t="s">
        <v>190</v>
      </c>
      <c r="H16" s="44" t="s">
        <v>191</v>
      </c>
    </row>
    <row r="17" spans="1:8" ht="39.75" customHeight="1" x14ac:dyDescent="0.3">
      <c r="A17" s="43" t="s">
        <v>192</v>
      </c>
      <c r="B17" s="43" t="s">
        <v>176</v>
      </c>
      <c r="C17" s="43" t="s">
        <v>193</v>
      </c>
      <c r="D17" s="43" t="s">
        <v>154</v>
      </c>
      <c r="E17" s="43"/>
      <c r="F17" s="43" t="str">
        <f>IF(E17="Yes","Second Schedule exemption framework applicable","Research exemption not relevant")</f>
        <v>Research exemption not relevant</v>
      </c>
      <c r="G17" s="43" t="s">
        <v>194</v>
      </c>
      <c r="H17" s="43" t="s">
        <v>195</v>
      </c>
    </row>
    <row r="18" spans="1:8" ht="39.75" customHeight="1" x14ac:dyDescent="0.3">
      <c r="A18" s="44" t="s">
        <v>196</v>
      </c>
      <c r="B18" s="44" t="s">
        <v>176</v>
      </c>
      <c r="C18" s="44" t="s">
        <v>197</v>
      </c>
      <c r="D18" s="44" t="s">
        <v>154</v>
      </c>
      <c r="E18" s="44"/>
      <c r="F18" s="44" t="str">
        <f>IF(E18="Yes","Processor governance + contractual controls mandatory","Direct processing only")</f>
        <v>Direct processing only</v>
      </c>
      <c r="G18" s="44" t="s">
        <v>198</v>
      </c>
      <c r="H18" s="44" t="s">
        <v>169</v>
      </c>
    </row>
    <row r="19" spans="1:8" ht="39.75" customHeight="1" x14ac:dyDescent="0.3">
      <c r="A19" s="43" t="s">
        <v>199</v>
      </c>
      <c r="B19" s="43" t="s">
        <v>176</v>
      </c>
      <c r="C19" s="43" t="s">
        <v>200</v>
      </c>
      <c r="D19" s="43" t="s">
        <v>154</v>
      </c>
      <c r="E19" s="43"/>
      <c r="F19" s="43" t="str">
        <f>IF(E19="Yes","Employment legitimate use + biometric controls apply","Employment processing not in scope")</f>
        <v>Employment processing not in scope</v>
      </c>
      <c r="G19" s="43" t="s">
        <v>201</v>
      </c>
      <c r="H19" s="43" t="s">
        <v>202</v>
      </c>
    </row>
    <row r="20" spans="1:8" ht="21.75" customHeight="1" x14ac:dyDescent="0.3">
      <c r="A20" s="53" t="s">
        <v>203</v>
      </c>
      <c r="B20" s="53"/>
      <c r="C20" s="53"/>
      <c r="D20" s="53"/>
      <c r="E20" s="53"/>
      <c r="F20" s="53"/>
      <c r="G20" s="53"/>
      <c r="H20" s="53"/>
    </row>
    <row r="21" spans="1:8" ht="39.75" customHeight="1" x14ac:dyDescent="0.3">
      <c r="A21" s="43" t="s">
        <v>204</v>
      </c>
      <c r="B21" s="43" t="s">
        <v>205</v>
      </c>
      <c r="C21" s="43" t="s">
        <v>206</v>
      </c>
      <c r="D21" s="43" t="s">
        <v>207</v>
      </c>
      <c r="E21" s="43"/>
      <c r="F21" s="43" t="str">
        <f>IF(E21="Yes","Verify against Rule 3/4 requirements",IF(E21="Partial","Gap remediation required","URGENT: Notice must be created"))</f>
        <v>URGENT: Notice must be created</v>
      </c>
      <c r="G21" s="43" t="s">
        <v>208</v>
      </c>
      <c r="H21" s="43" t="s">
        <v>209</v>
      </c>
    </row>
    <row r="22" spans="1:8" ht="39.75" customHeight="1" x14ac:dyDescent="0.3">
      <c r="A22" s="44" t="s">
        <v>210</v>
      </c>
      <c r="B22" s="44" t="s">
        <v>205</v>
      </c>
      <c r="C22" s="44" t="s">
        <v>211</v>
      </c>
      <c r="D22" s="44" t="s">
        <v>207</v>
      </c>
      <c r="E22" s="44"/>
      <c r="F22" s="44" t="str">
        <f>IF(E22="Yes","Validate against Sec 6 + Rule 4",IF(E22="Partial","Assess gaps in A6–A8 controls","URGENT: Consent mechanism required"))</f>
        <v>URGENT: Consent mechanism required</v>
      </c>
      <c r="G22" s="44" t="s">
        <v>212</v>
      </c>
      <c r="H22" s="44" t="s">
        <v>213</v>
      </c>
    </row>
    <row r="23" spans="1:8" ht="39.75" customHeight="1" x14ac:dyDescent="0.3">
      <c r="A23" s="43" t="s">
        <v>214</v>
      </c>
      <c r="B23" s="43" t="s">
        <v>205</v>
      </c>
      <c r="C23" s="43" t="s">
        <v>215</v>
      </c>
      <c r="D23" s="43" t="s">
        <v>207</v>
      </c>
      <c r="E23" s="43"/>
      <c r="F23" s="43" t="str">
        <f>IF(E23="Yes","Validate against Rule 7 timelines",IF(E23="Partial","Enhance per Items 18–23","CRITICAL: Breach playbook required"))</f>
        <v>CRITICAL: Breach playbook required</v>
      </c>
      <c r="G23" s="43" t="s">
        <v>216</v>
      </c>
      <c r="H23" s="43" t="s">
        <v>217</v>
      </c>
    </row>
    <row r="24" spans="1:8" ht="39.75" customHeight="1" x14ac:dyDescent="0.3">
      <c r="A24" s="44" t="s">
        <v>218</v>
      </c>
      <c r="B24" s="44" t="s">
        <v>205</v>
      </c>
      <c r="C24" s="44" t="s">
        <v>219</v>
      </c>
      <c r="D24" s="44" t="s">
        <v>207</v>
      </c>
      <c r="E24" s="44"/>
      <c r="F24" s="44" t="str">
        <f>IF(E24="Yes","Map to DPDP requirements",IF(E24="Partial","Expand to DPDP categories","FOUNDATIONAL: Build RoPA first"))</f>
        <v>FOUNDATIONAL: Build RoPA first</v>
      </c>
      <c r="G24" s="44" t="s">
        <v>220</v>
      </c>
      <c r="H24" s="44" t="s">
        <v>221</v>
      </c>
    </row>
    <row r="25" spans="1:8" ht="39.75" customHeight="1" x14ac:dyDescent="0.3">
      <c r="A25" s="43" t="s">
        <v>222</v>
      </c>
      <c r="B25" s="43" t="s">
        <v>205</v>
      </c>
      <c r="C25" s="43" t="s">
        <v>223</v>
      </c>
      <c r="D25" s="43" t="s">
        <v>207</v>
      </c>
      <c r="E25" s="43"/>
      <c r="F25" s="43" t="str">
        <f>IF(E25="Yes","Verify against Sec 11–14 + Rule 14",IF(E25="Partial","Enhance per Items 56–62","REQUIRED: Rights mechanism needed"))</f>
        <v>REQUIRED: Rights mechanism needed</v>
      </c>
      <c r="G25" s="43" t="s">
        <v>224</v>
      </c>
      <c r="H25" s="43" t="s">
        <v>225</v>
      </c>
    </row>
    <row r="26" spans="1:8" ht="39.75" customHeight="1" x14ac:dyDescent="0.3">
      <c r="A26" s="44" t="s">
        <v>226</v>
      </c>
      <c r="B26" s="44" t="s">
        <v>205</v>
      </c>
      <c r="C26" s="44" t="s">
        <v>227</v>
      </c>
      <c r="D26" s="44" t="s">
        <v>207</v>
      </c>
      <c r="E26" s="44"/>
      <c r="F26" s="44" t="str">
        <f>IF(E26="Yes","Validate encryption, ACL, logging, backup, monitoring",IF(E26="Partial","Gap assessment against Rule 6(a)–(g)","HIGH RISK: Security baseline required"))</f>
        <v>HIGH RISK: Security baseline required</v>
      </c>
      <c r="G26" s="44" t="s">
        <v>228</v>
      </c>
      <c r="H26" s="44" t="s">
        <v>229</v>
      </c>
    </row>
    <row r="27" spans="1:8" ht="39.75" customHeight="1" x14ac:dyDescent="0.3">
      <c r="A27" s="43" t="s">
        <v>230</v>
      </c>
      <c r="B27" s="43" t="s">
        <v>205</v>
      </c>
      <c r="C27" s="43" t="s">
        <v>231</v>
      </c>
      <c r="D27" s="43" t="s">
        <v>207</v>
      </c>
      <c r="E27" s="43"/>
      <c r="F27" s="43" t="str">
        <f>IF(E27="Yes","Confirm ≤90-day SLA + publication",IF(E27="Partial","Publish mechanism per Rule 14(3)","REQUIRED: Grievance system needed"))</f>
        <v>REQUIRED: Grievance system needed</v>
      </c>
      <c r="G27" s="43" t="s">
        <v>232</v>
      </c>
      <c r="H27" s="43" t="s">
        <v>233</v>
      </c>
    </row>
    <row r="28" spans="1:8" ht="39.75" customHeight="1" x14ac:dyDescent="0.3">
      <c r="A28" s="44" t="s">
        <v>234</v>
      </c>
      <c r="B28" s="44" t="s">
        <v>205</v>
      </c>
      <c r="C28" s="44" t="s">
        <v>235</v>
      </c>
      <c r="D28" s="44" t="s">
        <v>236</v>
      </c>
      <c r="E28" s="44"/>
      <c r="F28" s="44" t="str">
        <f>IF(E28="Yes","Legacy consent migration required per Rule 3",IF(E28="Unknown","URGENT: Conduct data discovery","No legacy remediation needed"))</f>
        <v>No legacy remediation needed</v>
      </c>
      <c r="G28" s="44" t="s">
        <v>237</v>
      </c>
      <c r="H28" s="44" t="s">
        <v>238</v>
      </c>
    </row>
    <row r="29" spans="1:8" ht="21.75" customHeight="1" x14ac:dyDescent="0.3">
      <c r="A29" s="53" t="s">
        <v>239</v>
      </c>
      <c r="B29" s="53"/>
      <c r="C29" s="53"/>
      <c r="D29" s="53"/>
      <c r="E29" s="53"/>
      <c r="F29" s="53"/>
      <c r="G29" s="53"/>
      <c r="H29" s="53"/>
    </row>
    <row r="30" spans="1:8" ht="39.75" customHeight="1" x14ac:dyDescent="0.3">
      <c r="A30" s="44" t="s">
        <v>240</v>
      </c>
      <c r="B30" s="44" t="s">
        <v>241</v>
      </c>
      <c r="C30" s="44" t="s">
        <v>242</v>
      </c>
      <c r="D30" s="44" t="s">
        <v>154</v>
      </c>
      <c r="E30" s="44"/>
      <c r="F30" s="44" t="str">
        <f>IF(E30="Yes","Fourth Schedule Part-A exemptions may apply for child data","Not applicable")</f>
        <v>Not applicable</v>
      </c>
      <c r="G30" s="44" t="s">
        <v>243</v>
      </c>
      <c r="H30" s="44" t="s">
        <v>243</v>
      </c>
    </row>
    <row r="31" spans="1:8" ht="39.75" customHeight="1" x14ac:dyDescent="0.3">
      <c r="A31" s="43" t="s">
        <v>244</v>
      </c>
      <c r="B31" s="43" t="s">
        <v>241</v>
      </c>
      <c r="C31" s="43" t="s">
        <v>245</v>
      </c>
      <c r="D31" s="43" t="s">
        <v>154</v>
      </c>
      <c r="E31" s="43"/>
      <c r="F31" s="43" t="str">
        <f>IF(E31="Yes","Fourth Schedule Part-A exemption A3 applicable","Not applicable")</f>
        <v>Not applicable</v>
      </c>
      <c r="G31" s="43" t="s">
        <v>246</v>
      </c>
      <c r="H31" s="43" t="s">
        <v>246</v>
      </c>
    </row>
    <row r="32" spans="1:8" ht="39.75" customHeight="1" x14ac:dyDescent="0.3">
      <c r="A32" s="44" t="s">
        <v>247</v>
      </c>
      <c r="B32" s="44" t="s">
        <v>241</v>
      </c>
      <c r="C32" s="44" t="s">
        <v>248</v>
      </c>
      <c r="D32" s="44" t="s">
        <v>154</v>
      </c>
      <c r="E32" s="44"/>
      <c r="F32" s="44" t="str">
        <f>IF(E32="Yes","Fourth Schedule Part-A exemptions A4/A5 apply","Not applicable")</f>
        <v>Not applicable</v>
      </c>
      <c r="G32" s="44" t="s">
        <v>249</v>
      </c>
      <c r="H32" s="44" t="s">
        <v>249</v>
      </c>
    </row>
    <row r="33" spans="1:8" ht="39.75" customHeight="1" x14ac:dyDescent="0.3">
      <c r="A33" s="43" t="s">
        <v>250</v>
      </c>
      <c r="B33" s="43" t="s">
        <v>241</v>
      </c>
      <c r="C33" s="43" t="s">
        <v>251</v>
      </c>
      <c r="D33" s="43" t="s">
        <v>154</v>
      </c>
      <c r="E33" s="43"/>
      <c r="F33" s="43" t="str">
        <f>IF(E33="Yes","Fourth Schedule Part-B exemption B2 applicable","Not applicable")</f>
        <v>Not applicable</v>
      </c>
      <c r="G33" s="43" t="s">
        <v>252</v>
      </c>
      <c r="H33" s="43" t="s">
        <v>252</v>
      </c>
    </row>
    <row r="34" spans="1:8" ht="39.75" customHeight="1" x14ac:dyDescent="0.3">
      <c r="A34" s="44" t="s">
        <v>253</v>
      </c>
      <c r="B34" s="44" t="s">
        <v>241</v>
      </c>
      <c r="C34" s="44" t="s">
        <v>254</v>
      </c>
      <c r="D34" s="44" t="s">
        <v>255</v>
      </c>
      <c r="E34" s="44"/>
      <c r="F34" s="44" t="str">
        <f>IF(E34="Yes","Multi-layer compliance: DPDP + sectoral law",IF(E34="Unsure","Legal assessment required","DPDP-only compliance"))</f>
        <v>DPDP-only compliance</v>
      </c>
      <c r="G34" s="44" t="s">
        <v>256</v>
      </c>
      <c r="H34" s="44" t="s">
        <v>256</v>
      </c>
    </row>
    <row r="35" spans="1:8" ht="39.75" customHeight="1" x14ac:dyDescent="0.3">
      <c r="A35" s="43" t="s">
        <v>257</v>
      </c>
      <c r="B35" s="43" t="s">
        <v>241</v>
      </c>
      <c r="C35" s="43" t="s">
        <v>258</v>
      </c>
      <c r="D35" s="43" t="s">
        <v>154</v>
      </c>
      <c r="E35" s="43"/>
      <c r="F35" s="43" t="str">
        <f>IF(E35="Yes","BU-level RACI + control ownership bifurcation required","Centralised compliance model sufficient")</f>
        <v>Centralised compliance model sufficient</v>
      </c>
      <c r="G35" s="43" t="s">
        <v>259</v>
      </c>
      <c r="H35" s="43" t="s">
        <v>221</v>
      </c>
    </row>
    <row r="37" spans="1:8" ht="25.5" customHeight="1" x14ac:dyDescent="0.3">
      <c r="A37" s="54" t="s">
        <v>260</v>
      </c>
      <c r="B37" s="54"/>
      <c r="C37" s="54"/>
      <c r="D37" s="54"/>
      <c r="E37" s="54"/>
      <c r="F37" s="54"/>
      <c r="G37" s="54"/>
      <c r="H37" s="54"/>
    </row>
    <row r="38" spans="1:8" ht="35.4" customHeight="1" x14ac:dyDescent="0.3">
      <c r="A38" s="247" t="s">
        <v>261</v>
      </c>
      <c r="B38" s="44" t="str">
        <f>IF(E7="Yes","Data Fiduciary","")</f>
        <v/>
      </c>
      <c r="C38" s="44" t="str">
        <f>IF(E8="Yes"," + Significant Data Fiduciary","")</f>
        <v/>
      </c>
      <c r="D38" s="44" t="str">
        <f>IF(E9="Yes"," + Consent Manager","")</f>
        <v/>
      </c>
    </row>
    <row r="39" spans="1:8" ht="40.799999999999997" customHeight="1" x14ac:dyDescent="0.3">
      <c r="A39" s="247" t="s">
        <v>262</v>
      </c>
      <c r="B39" s="246" t="s">
        <v>263</v>
      </c>
    </row>
    <row r="40" spans="1:8" ht="41.4" customHeight="1" x14ac:dyDescent="0.3">
      <c r="A40" s="247" t="s">
        <v>264</v>
      </c>
      <c r="B40" s="246" t="s">
        <v>265</v>
      </c>
    </row>
    <row r="41" spans="1:8" ht="45" customHeight="1" x14ac:dyDescent="0.3">
      <c r="A41" s="247" t="s">
        <v>266</v>
      </c>
      <c r="B41" s="44" t="str">
        <f>IF(E32="Yes","Yes — activate BU-level RACI columns","No — centralised model")</f>
        <v>No — centralised model</v>
      </c>
    </row>
  </sheetData>
  <mergeCells count="8">
    <mergeCell ref="A20:H20"/>
    <mergeCell ref="A29:H29"/>
    <mergeCell ref="A37:H37"/>
    <mergeCell ref="A1:H1"/>
    <mergeCell ref="A2:H2"/>
    <mergeCell ref="A3:H3"/>
    <mergeCell ref="A6:H6"/>
    <mergeCell ref="A12:H12"/>
  </mergeCells>
  <dataValidations count="5">
    <dataValidation type="list" allowBlank="1" errorTitle="Invalid Response" error="Please select Yes or No" sqref="E7 E9:E11 E14:E19 E29:E30 E32" xr:uid="{00000000-0002-0000-0100-000000000000}">
      <formula1>"Yes,No"</formula1>
      <formula2>0</formula2>
    </dataValidation>
    <dataValidation type="list" allowBlank="1" sqref="E21:E27" xr:uid="{00000000-0002-0000-0100-000001000000}">
      <formula1>"Yes,No,Partial"</formula1>
      <formula2>0</formula2>
    </dataValidation>
    <dataValidation type="list" allowBlank="1" sqref="E8" xr:uid="{00000000-0002-0000-0100-000002000000}">
      <formula1>"Yes,No,Pending"</formula1>
      <formula2>0</formula2>
    </dataValidation>
    <dataValidation type="list" allowBlank="1" sqref="E28" xr:uid="{00000000-0002-0000-0100-000003000000}">
      <formula1>"Yes,No,Unknown"</formula1>
      <formula2>0</formula2>
    </dataValidation>
    <dataValidation type="list" allowBlank="1" sqref="E31" xr:uid="{00000000-0002-0000-0100-000004000000}">
      <formula1>"Yes,No,Unsure"</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1E8449"/>
  </sheetPr>
  <dimension ref="A1:R73"/>
  <sheetViews>
    <sheetView zoomScaleNormal="100" workbookViewId="0">
      <pane xSplit="4" ySplit="4" topLeftCell="E5" activePane="bottomRight" state="frozen"/>
      <selection pane="topRight" activeCell="E1" sqref="E1"/>
      <selection pane="bottomLeft" activeCell="A5" sqref="A5"/>
      <selection pane="bottomRight" activeCell="C4" sqref="C4"/>
    </sheetView>
  </sheetViews>
  <sheetFormatPr defaultColWidth="8.6640625" defaultRowHeight="14.4" x14ac:dyDescent="0.3"/>
  <cols>
    <col min="1" max="1" width="7" customWidth="1"/>
    <col min="2" max="2" width="14" customWidth="1"/>
    <col min="3" max="3" width="42" customWidth="1"/>
    <col min="4" max="4" width="16.33203125" customWidth="1"/>
    <col min="5" max="17" width="12" customWidth="1"/>
    <col min="18" max="18" width="14" customWidth="1"/>
  </cols>
  <sheetData>
    <row r="1" spans="1:18" ht="31.5" customHeight="1" x14ac:dyDescent="0.3">
      <c r="A1" s="55" t="s">
        <v>267</v>
      </c>
      <c r="B1" s="55"/>
      <c r="C1" s="55"/>
      <c r="D1" s="55"/>
      <c r="E1" s="55"/>
      <c r="F1" s="55"/>
      <c r="G1" s="55"/>
      <c r="H1" s="55"/>
      <c r="I1" s="55"/>
      <c r="J1" s="55"/>
      <c r="K1" s="55"/>
      <c r="L1" s="55"/>
      <c r="M1" s="55"/>
      <c r="N1" s="55"/>
      <c r="O1" s="55"/>
      <c r="P1" s="55"/>
      <c r="Q1" s="55"/>
      <c r="R1" s="55"/>
    </row>
    <row r="2" spans="1:18" ht="27.75" customHeight="1" x14ac:dyDescent="0.3">
      <c r="A2" s="51" t="s">
        <v>268</v>
      </c>
      <c r="B2" s="51"/>
      <c r="C2" s="51"/>
      <c r="D2" s="51"/>
      <c r="E2" s="51"/>
      <c r="F2" s="51"/>
      <c r="G2" s="51"/>
      <c r="H2" s="51"/>
      <c r="I2" s="51"/>
      <c r="J2" s="51"/>
      <c r="K2" s="51"/>
      <c r="L2" s="51"/>
      <c r="M2" s="51"/>
      <c r="N2" s="51"/>
      <c r="O2" s="51"/>
      <c r="P2" s="51"/>
      <c r="Q2" s="51"/>
      <c r="R2" s="51"/>
    </row>
    <row r="3" spans="1:18" ht="24" customHeight="1" x14ac:dyDescent="0.3">
      <c r="A3" s="56" t="s">
        <v>269</v>
      </c>
      <c r="B3" s="56"/>
      <c r="C3" s="56"/>
      <c r="D3" s="56"/>
      <c r="E3" s="57" t="s">
        <v>270</v>
      </c>
      <c r="F3" s="57"/>
      <c r="G3" s="57"/>
      <c r="H3" s="57"/>
      <c r="I3" s="57"/>
      <c r="J3" s="57"/>
      <c r="K3" s="57"/>
      <c r="L3" s="57"/>
      <c r="M3" s="58" t="s">
        <v>271</v>
      </c>
      <c r="N3" s="58"/>
      <c r="O3" s="58"/>
      <c r="P3" s="59" t="s">
        <v>272</v>
      </c>
      <c r="Q3" s="59"/>
      <c r="R3" s="59"/>
    </row>
    <row r="4" spans="1:18" ht="39.75" customHeight="1" x14ac:dyDescent="0.3">
      <c r="A4" s="42" t="s">
        <v>273</v>
      </c>
      <c r="B4" s="42" t="s">
        <v>274</v>
      </c>
      <c r="C4" s="42" t="s">
        <v>275</v>
      </c>
      <c r="D4" s="42" t="s">
        <v>276</v>
      </c>
      <c r="E4" s="42" t="s">
        <v>277</v>
      </c>
      <c r="F4" s="42" t="s">
        <v>278</v>
      </c>
      <c r="G4" s="42" t="s">
        <v>279</v>
      </c>
      <c r="H4" s="42" t="s">
        <v>280</v>
      </c>
      <c r="I4" s="42" t="s">
        <v>281</v>
      </c>
      <c r="J4" s="42" t="s">
        <v>282</v>
      </c>
      <c r="K4" s="42" t="s">
        <v>283</v>
      </c>
      <c r="L4" s="42" t="s">
        <v>284</v>
      </c>
      <c r="M4" s="42" t="s">
        <v>285</v>
      </c>
      <c r="N4" s="42" t="s">
        <v>286</v>
      </c>
      <c r="O4" s="42" t="s">
        <v>287</v>
      </c>
      <c r="P4" s="42" t="s">
        <v>127</v>
      </c>
      <c r="Q4" s="42" t="s">
        <v>288</v>
      </c>
      <c r="R4" s="42" t="s">
        <v>289</v>
      </c>
    </row>
    <row r="5" spans="1:18" ht="21.75" customHeight="1" x14ac:dyDescent="0.3">
      <c r="A5" s="60" t="s">
        <v>290</v>
      </c>
      <c r="B5" s="60"/>
      <c r="C5" s="60"/>
      <c r="D5" s="60"/>
      <c r="E5" s="60"/>
      <c r="F5" s="60"/>
      <c r="G5" s="60"/>
      <c r="H5" s="60"/>
      <c r="I5" s="60"/>
      <c r="J5" s="60"/>
      <c r="K5" s="60"/>
      <c r="L5" s="60"/>
      <c r="M5" s="60"/>
      <c r="N5" s="60"/>
      <c r="O5" s="60"/>
      <c r="P5" s="60"/>
      <c r="Q5" s="60"/>
      <c r="R5" s="60"/>
    </row>
    <row r="6" spans="1:18" ht="36" customHeight="1" x14ac:dyDescent="0.3">
      <c r="A6" s="44" t="s">
        <v>291</v>
      </c>
      <c r="B6" s="44" t="s">
        <v>292</v>
      </c>
      <c r="C6" s="44" t="s">
        <v>293</v>
      </c>
      <c r="D6" s="44" t="s">
        <v>294</v>
      </c>
      <c r="E6" s="45" t="s">
        <v>295</v>
      </c>
      <c r="F6" s="46" t="s">
        <v>296</v>
      </c>
      <c r="G6" s="47" t="s">
        <v>297</v>
      </c>
      <c r="H6" s="46" t="s">
        <v>296</v>
      </c>
      <c r="I6" s="46" t="s">
        <v>296</v>
      </c>
      <c r="J6" s="46" t="s">
        <v>296</v>
      </c>
      <c r="K6" s="48" t="s">
        <v>298</v>
      </c>
      <c r="L6" s="46" t="s">
        <v>296</v>
      </c>
      <c r="M6" s="47" t="s">
        <v>297</v>
      </c>
      <c r="N6" s="46" t="s">
        <v>296</v>
      </c>
      <c r="O6" s="48" t="s">
        <v>298</v>
      </c>
      <c r="P6" s="48" t="s">
        <v>298</v>
      </c>
      <c r="Q6" s="44" t="s">
        <v>299</v>
      </c>
      <c r="R6" s="44" t="s">
        <v>300</v>
      </c>
    </row>
    <row r="7" spans="1:18" ht="36" customHeight="1" x14ac:dyDescent="0.3">
      <c r="A7" s="44" t="s">
        <v>301</v>
      </c>
      <c r="B7" s="44" t="s">
        <v>292</v>
      </c>
      <c r="C7" s="44" t="s">
        <v>302</v>
      </c>
      <c r="D7" s="44" t="s">
        <v>303</v>
      </c>
      <c r="E7" s="45" t="s">
        <v>295</v>
      </c>
      <c r="F7" s="48" t="s">
        <v>298</v>
      </c>
      <c r="G7" s="47" t="s">
        <v>297</v>
      </c>
      <c r="H7" s="47" t="s">
        <v>297</v>
      </c>
      <c r="I7" s="48" t="s">
        <v>298</v>
      </c>
      <c r="J7" s="47" t="s">
        <v>297</v>
      </c>
      <c r="K7" s="48" t="s">
        <v>298</v>
      </c>
      <c r="L7" s="46" t="s">
        <v>296</v>
      </c>
      <c r="M7" s="46" t="s">
        <v>296</v>
      </c>
      <c r="N7" s="48" t="s">
        <v>298</v>
      </c>
      <c r="O7" s="48" t="s">
        <v>298</v>
      </c>
      <c r="P7" s="48" t="s">
        <v>298</v>
      </c>
      <c r="Q7" s="44" t="s">
        <v>299</v>
      </c>
      <c r="R7" s="44" t="s">
        <v>300</v>
      </c>
    </row>
    <row r="8" spans="1:18" ht="36" customHeight="1" x14ac:dyDescent="0.3">
      <c r="A8" s="44" t="s">
        <v>304</v>
      </c>
      <c r="B8" s="44" t="s">
        <v>292</v>
      </c>
      <c r="C8" s="44" t="s">
        <v>305</v>
      </c>
      <c r="D8" s="44" t="s">
        <v>306</v>
      </c>
      <c r="E8" s="45" t="s">
        <v>295</v>
      </c>
      <c r="F8" s="46" t="s">
        <v>296</v>
      </c>
      <c r="G8" s="47" t="s">
        <v>297</v>
      </c>
      <c r="H8" s="47" t="s">
        <v>297</v>
      </c>
      <c r="I8" s="48" t="s">
        <v>298</v>
      </c>
      <c r="J8" s="47" t="s">
        <v>297</v>
      </c>
      <c r="K8" s="48" t="s">
        <v>298</v>
      </c>
      <c r="L8" s="48" t="s">
        <v>298</v>
      </c>
      <c r="M8" s="46" t="s">
        <v>296</v>
      </c>
      <c r="N8" s="46" t="s">
        <v>296</v>
      </c>
      <c r="O8" s="48" t="s">
        <v>298</v>
      </c>
      <c r="P8" s="48" t="s">
        <v>298</v>
      </c>
      <c r="Q8" s="44" t="s">
        <v>299</v>
      </c>
      <c r="R8" s="44" t="s">
        <v>300</v>
      </c>
    </row>
    <row r="9" spans="1:18" ht="36" customHeight="1" x14ac:dyDescent="0.3">
      <c r="A9" s="44" t="s">
        <v>307</v>
      </c>
      <c r="B9" s="44" t="s">
        <v>292</v>
      </c>
      <c r="C9" s="44" t="s">
        <v>308</v>
      </c>
      <c r="D9" s="44" t="s">
        <v>309</v>
      </c>
      <c r="E9" s="45" t="s">
        <v>295</v>
      </c>
      <c r="F9" s="46" t="s">
        <v>296</v>
      </c>
      <c r="G9" s="47" t="s">
        <v>297</v>
      </c>
      <c r="H9" s="47" t="s">
        <v>297</v>
      </c>
      <c r="I9" s="48" t="s">
        <v>298</v>
      </c>
      <c r="J9" s="47" t="s">
        <v>297</v>
      </c>
      <c r="K9" s="48" t="s">
        <v>298</v>
      </c>
      <c r="L9" s="48" t="s">
        <v>298</v>
      </c>
      <c r="M9" s="47" t="s">
        <v>297</v>
      </c>
      <c r="N9" s="46" t="s">
        <v>296</v>
      </c>
      <c r="O9" s="46" t="s">
        <v>296</v>
      </c>
      <c r="P9" s="48" t="s">
        <v>298</v>
      </c>
      <c r="Q9" s="44" t="s">
        <v>299</v>
      </c>
      <c r="R9" s="44" t="s">
        <v>300</v>
      </c>
    </row>
    <row r="10" spans="1:18" ht="36" customHeight="1" x14ac:dyDescent="0.3">
      <c r="A10" s="44" t="s">
        <v>310</v>
      </c>
      <c r="B10" s="44" t="s">
        <v>292</v>
      </c>
      <c r="C10" s="44" t="s">
        <v>311</v>
      </c>
      <c r="D10" s="44" t="s">
        <v>312</v>
      </c>
      <c r="E10" s="45" t="s">
        <v>295</v>
      </c>
      <c r="F10" s="48" t="s">
        <v>298</v>
      </c>
      <c r="G10" s="47" t="s">
        <v>297</v>
      </c>
      <c r="H10" s="46" t="s">
        <v>296</v>
      </c>
      <c r="I10" s="48" t="s">
        <v>298</v>
      </c>
      <c r="J10" s="47" t="s">
        <v>297</v>
      </c>
      <c r="K10" s="48" t="s">
        <v>298</v>
      </c>
      <c r="L10" s="48" t="s">
        <v>298</v>
      </c>
      <c r="M10" s="46" t="s">
        <v>296</v>
      </c>
      <c r="N10" s="48" t="s">
        <v>298</v>
      </c>
      <c r="O10" s="48" t="s">
        <v>298</v>
      </c>
      <c r="P10" s="48" t="s">
        <v>298</v>
      </c>
      <c r="Q10" s="44" t="s">
        <v>313</v>
      </c>
      <c r="R10" s="44" t="s">
        <v>300</v>
      </c>
    </row>
    <row r="11" spans="1:18" ht="21.75" customHeight="1" x14ac:dyDescent="0.3">
      <c r="A11" s="60" t="s">
        <v>314</v>
      </c>
      <c r="B11" s="60"/>
      <c r="C11" s="60"/>
      <c r="D11" s="60"/>
      <c r="E11" s="60"/>
      <c r="F11" s="60"/>
      <c r="G11" s="60"/>
      <c r="H11" s="60"/>
      <c r="I11" s="60"/>
      <c r="J11" s="60"/>
      <c r="K11" s="60"/>
      <c r="L11" s="60"/>
      <c r="M11" s="60"/>
      <c r="N11" s="60"/>
      <c r="O11" s="60"/>
      <c r="P11" s="60"/>
      <c r="Q11" s="60"/>
      <c r="R11" s="60"/>
    </row>
    <row r="12" spans="1:18" ht="36" customHeight="1" x14ac:dyDescent="0.3">
      <c r="A12" s="44" t="s">
        <v>315</v>
      </c>
      <c r="B12" s="44" t="s">
        <v>316</v>
      </c>
      <c r="C12" s="44" t="s">
        <v>317</v>
      </c>
      <c r="D12" s="44" t="s">
        <v>318</v>
      </c>
      <c r="E12" s="45" t="s">
        <v>295</v>
      </c>
      <c r="F12" s="46" t="s">
        <v>296</v>
      </c>
      <c r="G12" s="47" t="s">
        <v>297</v>
      </c>
      <c r="H12" s="47" t="s">
        <v>297</v>
      </c>
      <c r="I12" s="48" t="s">
        <v>298</v>
      </c>
      <c r="J12" s="48" t="s">
        <v>298</v>
      </c>
      <c r="K12" s="48" t="s">
        <v>298</v>
      </c>
      <c r="L12" s="46" t="s">
        <v>296</v>
      </c>
      <c r="M12" s="48" t="s">
        <v>298</v>
      </c>
      <c r="N12" s="48" t="s">
        <v>298</v>
      </c>
      <c r="O12" s="48" t="s">
        <v>298</v>
      </c>
      <c r="P12" s="45" t="s">
        <v>295</v>
      </c>
      <c r="Q12" s="44" t="s">
        <v>313</v>
      </c>
      <c r="R12" s="44" t="s">
        <v>319</v>
      </c>
    </row>
    <row r="13" spans="1:18" ht="36" customHeight="1" x14ac:dyDescent="0.3">
      <c r="A13" s="44" t="s">
        <v>320</v>
      </c>
      <c r="B13" s="44" t="s">
        <v>316</v>
      </c>
      <c r="C13" s="44" t="s">
        <v>321</v>
      </c>
      <c r="D13" s="44" t="s">
        <v>322</v>
      </c>
      <c r="E13" s="45" t="s">
        <v>295</v>
      </c>
      <c r="F13" s="46" t="s">
        <v>296</v>
      </c>
      <c r="G13" s="47" t="s">
        <v>297</v>
      </c>
      <c r="H13" s="46" t="s">
        <v>296</v>
      </c>
      <c r="I13" s="48" t="s">
        <v>298</v>
      </c>
      <c r="J13" s="48" t="s">
        <v>298</v>
      </c>
      <c r="K13" s="48" t="s">
        <v>298</v>
      </c>
      <c r="L13" s="48" t="s">
        <v>298</v>
      </c>
      <c r="M13" s="48" t="s">
        <v>298</v>
      </c>
      <c r="N13" s="48" t="s">
        <v>298</v>
      </c>
      <c r="O13" s="48" t="s">
        <v>298</v>
      </c>
      <c r="P13" s="48" t="s">
        <v>298</v>
      </c>
      <c r="Q13" s="44" t="s">
        <v>313</v>
      </c>
      <c r="R13" s="44" t="s">
        <v>319</v>
      </c>
    </row>
    <row r="14" spans="1:18" ht="36" customHeight="1" x14ac:dyDescent="0.3">
      <c r="A14" s="44" t="s">
        <v>323</v>
      </c>
      <c r="B14" s="44" t="s">
        <v>316</v>
      </c>
      <c r="C14" s="44" t="s">
        <v>324</v>
      </c>
      <c r="D14" s="44" t="s">
        <v>325</v>
      </c>
      <c r="E14" s="45" t="s">
        <v>295</v>
      </c>
      <c r="F14" s="47" t="s">
        <v>297</v>
      </c>
      <c r="G14" s="47" t="s">
        <v>297</v>
      </c>
      <c r="H14" s="47" t="s">
        <v>297</v>
      </c>
      <c r="I14" s="48" t="s">
        <v>298</v>
      </c>
      <c r="J14" s="48" t="s">
        <v>298</v>
      </c>
      <c r="K14" s="48" t="s">
        <v>298</v>
      </c>
      <c r="L14" s="46" t="s">
        <v>296</v>
      </c>
      <c r="M14" s="48" t="s">
        <v>298</v>
      </c>
      <c r="N14" s="48" t="s">
        <v>298</v>
      </c>
      <c r="O14" s="48" t="s">
        <v>298</v>
      </c>
      <c r="P14" s="48" t="s">
        <v>298</v>
      </c>
      <c r="Q14" s="44" t="s">
        <v>299</v>
      </c>
      <c r="R14" s="44" t="s">
        <v>319</v>
      </c>
    </row>
    <row r="15" spans="1:18" ht="36" customHeight="1" x14ac:dyDescent="0.3">
      <c r="A15" s="44" t="s">
        <v>326</v>
      </c>
      <c r="B15" s="44" t="s">
        <v>316</v>
      </c>
      <c r="C15" s="44" t="s">
        <v>327</v>
      </c>
      <c r="D15" s="44" t="s">
        <v>328</v>
      </c>
      <c r="E15" s="45" t="s">
        <v>295</v>
      </c>
      <c r="F15" s="47" t="s">
        <v>297</v>
      </c>
      <c r="G15" s="47" t="s">
        <v>297</v>
      </c>
      <c r="H15" s="46" t="s">
        <v>296</v>
      </c>
      <c r="I15" s="48" t="s">
        <v>298</v>
      </c>
      <c r="J15" s="48" t="s">
        <v>298</v>
      </c>
      <c r="K15" s="48" t="s">
        <v>298</v>
      </c>
      <c r="L15" s="48" t="s">
        <v>298</v>
      </c>
      <c r="M15" s="48" t="s">
        <v>298</v>
      </c>
      <c r="N15" s="48" t="s">
        <v>298</v>
      </c>
      <c r="O15" s="48" t="s">
        <v>298</v>
      </c>
      <c r="P15" s="45" t="s">
        <v>295</v>
      </c>
      <c r="Q15" s="44" t="s">
        <v>313</v>
      </c>
      <c r="R15" s="44" t="s">
        <v>319</v>
      </c>
    </row>
    <row r="16" spans="1:18" ht="36" customHeight="1" x14ac:dyDescent="0.3">
      <c r="A16" s="44" t="s">
        <v>329</v>
      </c>
      <c r="B16" s="44" t="s">
        <v>316</v>
      </c>
      <c r="C16" s="44" t="s">
        <v>330</v>
      </c>
      <c r="D16" s="44" t="s">
        <v>331</v>
      </c>
      <c r="E16" s="45" t="s">
        <v>295</v>
      </c>
      <c r="F16" s="47" t="s">
        <v>297</v>
      </c>
      <c r="G16" s="47" t="s">
        <v>297</v>
      </c>
      <c r="H16" s="47" t="s">
        <v>297</v>
      </c>
      <c r="I16" s="48" t="s">
        <v>298</v>
      </c>
      <c r="J16" s="48" t="s">
        <v>298</v>
      </c>
      <c r="K16" s="48" t="s">
        <v>298</v>
      </c>
      <c r="L16" s="46" t="s">
        <v>296</v>
      </c>
      <c r="M16" s="48" t="s">
        <v>298</v>
      </c>
      <c r="N16" s="48" t="s">
        <v>298</v>
      </c>
      <c r="O16" s="48" t="s">
        <v>298</v>
      </c>
      <c r="P16" s="45" t="s">
        <v>295</v>
      </c>
      <c r="Q16" s="44" t="s">
        <v>313</v>
      </c>
      <c r="R16" s="44" t="s">
        <v>319</v>
      </c>
    </row>
    <row r="17" spans="1:18" ht="36" customHeight="1" x14ac:dyDescent="0.3">
      <c r="A17" s="44" t="s">
        <v>332</v>
      </c>
      <c r="B17" s="44" t="s">
        <v>316</v>
      </c>
      <c r="C17" s="44" t="s">
        <v>333</v>
      </c>
      <c r="D17" s="44" t="s">
        <v>334</v>
      </c>
      <c r="E17" s="45" t="s">
        <v>295</v>
      </c>
      <c r="F17" s="46" t="s">
        <v>296</v>
      </c>
      <c r="G17" s="47" t="s">
        <v>297</v>
      </c>
      <c r="H17" s="46" t="s">
        <v>296</v>
      </c>
      <c r="I17" s="48" t="s">
        <v>298</v>
      </c>
      <c r="J17" s="48" t="s">
        <v>298</v>
      </c>
      <c r="K17" s="48" t="s">
        <v>298</v>
      </c>
      <c r="L17" s="48" t="s">
        <v>298</v>
      </c>
      <c r="M17" s="48" t="s">
        <v>298</v>
      </c>
      <c r="N17" s="48" t="s">
        <v>298</v>
      </c>
      <c r="O17" s="48" t="s">
        <v>298</v>
      </c>
      <c r="P17" s="48" t="s">
        <v>298</v>
      </c>
      <c r="Q17" s="44" t="s">
        <v>313</v>
      </c>
      <c r="R17" s="44" t="s">
        <v>319</v>
      </c>
    </row>
    <row r="18" spans="1:18" ht="21.75" customHeight="1" x14ac:dyDescent="0.3">
      <c r="A18" s="60" t="s">
        <v>335</v>
      </c>
      <c r="B18" s="60"/>
      <c r="C18" s="60"/>
      <c r="D18" s="60"/>
      <c r="E18" s="60"/>
      <c r="F18" s="60"/>
      <c r="G18" s="60"/>
      <c r="H18" s="60"/>
      <c r="I18" s="60"/>
      <c r="J18" s="60"/>
      <c r="K18" s="60"/>
      <c r="L18" s="60"/>
      <c r="M18" s="60"/>
      <c r="N18" s="60"/>
      <c r="O18" s="60"/>
      <c r="P18" s="60"/>
      <c r="Q18" s="60"/>
      <c r="R18" s="60"/>
    </row>
    <row r="19" spans="1:18" ht="36" customHeight="1" x14ac:dyDescent="0.3">
      <c r="A19" s="44" t="s">
        <v>336</v>
      </c>
      <c r="B19" s="44" t="s">
        <v>337</v>
      </c>
      <c r="C19" s="44" t="s">
        <v>338</v>
      </c>
      <c r="D19" s="44" t="s">
        <v>339</v>
      </c>
      <c r="E19" s="46" t="s">
        <v>296</v>
      </c>
      <c r="F19" s="45" t="s">
        <v>295</v>
      </c>
      <c r="G19" s="46" t="s">
        <v>296</v>
      </c>
      <c r="H19" s="47" t="s">
        <v>297</v>
      </c>
      <c r="I19" s="48" t="s">
        <v>298</v>
      </c>
      <c r="J19" s="48" t="s">
        <v>298</v>
      </c>
      <c r="K19" s="46" t="s">
        <v>296</v>
      </c>
      <c r="L19" s="48" t="s">
        <v>298</v>
      </c>
      <c r="M19" s="46" t="s">
        <v>296</v>
      </c>
      <c r="N19" s="48" t="s">
        <v>298</v>
      </c>
      <c r="O19" s="47" t="s">
        <v>297</v>
      </c>
      <c r="P19" s="48" t="s">
        <v>298</v>
      </c>
      <c r="Q19" s="44" t="s">
        <v>299</v>
      </c>
      <c r="R19" s="44" t="s">
        <v>300</v>
      </c>
    </row>
    <row r="20" spans="1:18" ht="36" customHeight="1" x14ac:dyDescent="0.3">
      <c r="A20" s="44" t="s">
        <v>340</v>
      </c>
      <c r="B20" s="44" t="s">
        <v>337</v>
      </c>
      <c r="C20" s="44" t="s">
        <v>341</v>
      </c>
      <c r="D20" s="44" t="s">
        <v>342</v>
      </c>
      <c r="E20" s="46" t="s">
        <v>296</v>
      </c>
      <c r="F20" s="45" t="s">
        <v>295</v>
      </c>
      <c r="G20" s="48" t="s">
        <v>298</v>
      </c>
      <c r="H20" s="47" t="s">
        <v>297</v>
      </c>
      <c r="I20" s="46" t="s">
        <v>296</v>
      </c>
      <c r="J20" s="48" t="s">
        <v>298</v>
      </c>
      <c r="K20" s="48" t="s">
        <v>298</v>
      </c>
      <c r="L20" s="48" t="s">
        <v>298</v>
      </c>
      <c r="M20" s="46" t="s">
        <v>296</v>
      </c>
      <c r="N20" s="48" t="s">
        <v>298</v>
      </c>
      <c r="O20" s="47" t="s">
        <v>297</v>
      </c>
      <c r="P20" s="48" t="s">
        <v>298</v>
      </c>
      <c r="Q20" s="44" t="s">
        <v>299</v>
      </c>
      <c r="R20" s="44" t="s">
        <v>300</v>
      </c>
    </row>
    <row r="21" spans="1:18" ht="36" customHeight="1" x14ac:dyDescent="0.3">
      <c r="A21" s="44" t="s">
        <v>343</v>
      </c>
      <c r="B21" s="44" t="s">
        <v>337</v>
      </c>
      <c r="C21" s="44" t="s">
        <v>344</v>
      </c>
      <c r="D21" s="44" t="s">
        <v>345</v>
      </c>
      <c r="E21" s="46" t="s">
        <v>296</v>
      </c>
      <c r="F21" s="45" t="s">
        <v>295</v>
      </c>
      <c r="G21" s="48" t="s">
        <v>298</v>
      </c>
      <c r="H21" s="47" t="s">
        <v>297</v>
      </c>
      <c r="I21" s="48" t="s">
        <v>298</v>
      </c>
      <c r="J21" s="48" t="s">
        <v>298</v>
      </c>
      <c r="K21" s="48" t="s">
        <v>298</v>
      </c>
      <c r="L21" s="48" t="s">
        <v>298</v>
      </c>
      <c r="M21" s="48" t="s">
        <v>298</v>
      </c>
      <c r="N21" s="48" t="s">
        <v>298</v>
      </c>
      <c r="O21" s="47" t="s">
        <v>297</v>
      </c>
      <c r="P21" s="48" t="s">
        <v>298</v>
      </c>
      <c r="Q21" s="44" t="s">
        <v>299</v>
      </c>
      <c r="R21" s="44" t="s">
        <v>300</v>
      </c>
    </row>
    <row r="22" spans="1:18" ht="36" customHeight="1" x14ac:dyDescent="0.3">
      <c r="A22" s="44" t="s">
        <v>346</v>
      </c>
      <c r="B22" s="44" t="s">
        <v>337</v>
      </c>
      <c r="C22" s="44" t="s">
        <v>347</v>
      </c>
      <c r="D22" s="44" t="s">
        <v>348</v>
      </c>
      <c r="E22" s="46" t="s">
        <v>296</v>
      </c>
      <c r="F22" s="45" t="s">
        <v>295</v>
      </c>
      <c r="G22" s="46" t="s">
        <v>296</v>
      </c>
      <c r="H22" s="47" t="s">
        <v>297</v>
      </c>
      <c r="I22" s="48" t="s">
        <v>298</v>
      </c>
      <c r="J22" s="48" t="s">
        <v>298</v>
      </c>
      <c r="K22" s="48" t="s">
        <v>298</v>
      </c>
      <c r="L22" s="48" t="s">
        <v>298</v>
      </c>
      <c r="M22" s="46" t="s">
        <v>296</v>
      </c>
      <c r="N22" s="48" t="s">
        <v>298</v>
      </c>
      <c r="O22" s="47" t="s">
        <v>297</v>
      </c>
      <c r="P22" s="48" t="s">
        <v>298</v>
      </c>
      <c r="Q22" s="44" t="s">
        <v>299</v>
      </c>
      <c r="R22" s="44" t="s">
        <v>300</v>
      </c>
    </row>
    <row r="23" spans="1:18" ht="36" customHeight="1" x14ac:dyDescent="0.3">
      <c r="A23" s="44" t="s">
        <v>349</v>
      </c>
      <c r="B23" s="44" t="s">
        <v>337</v>
      </c>
      <c r="C23" s="44" t="s">
        <v>350</v>
      </c>
      <c r="D23" s="44" t="s">
        <v>351</v>
      </c>
      <c r="E23" s="46" t="s">
        <v>296</v>
      </c>
      <c r="F23" s="45" t="s">
        <v>295</v>
      </c>
      <c r="G23" s="47" t="s">
        <v>297</v>
      </c>
      <c r="H23" s="46" t="s">
        <v>296</v>
      </c>
      <c r="I23" s="48" t="s">
        <v>298</v>
      </c>
      <c r="J23" s="48" t="s">
        <v>298</v>
      </c>
      <c r="K23" s="47" t="s">
        <v>297</v>
      </c>
      <c r="L23" s="48" t="s">
        <v>298</v>
      </c>
      <c r="M23" s="46" t="s">
        <v>296</v>
      </c>
      <c r="N23" s="48" t="s">
        <v>298</v>
      </c>
      <c r="O23" s="48" t="s">
        <v>298</v>
      </c>
      <c r="P23" s="48" t="s">
        <v>298</v>
      </c>
      <c r="Q23" s="44" t="s">
        <v>299</v>
      </c>
      <c r="R23" s="44" t="s">
        <v>300</v>
      </c>
    </row>
    <row r="24" spans="1:18" ht="36" customHeight="1" x14ac:dyDescent="0.3">
      <c r="A24" s="44" t="s">
        <v>352</v>
      </c>
      <c r="B24" s="44" t="s">
        <v>337</v>
      </c>
      <c r="C24" s="44" t="s">
        <v>353</v>
      </c>
      <c r="D24" s="44" t="s">
        <v>354</v>
      </c>
      <c r="E24" s="46" t="s">
        <v>296</v>
      </c>
      <c r="F24" s="45" t="s">
        <v>295</v>
      </c>
      <c r="G24" s="46" t="s">
        <v>296</v>
      </c>
      <c r="H24" s="47" t="s">
        <v>297</v>
      </c>
      <c r="I24" s="48" t="s">
        <v>298</v>
      </c>
      <c r="J24" s="48" t="s">
        <v>298</v>
      </c>
      <c r="K24" s="48" t="s">
        <v>298</v>
      </c>
      <c r="L24" s="48" t="s">
        <v>298</v>
      </c>
      <c r="M24" s="46" t="s">
        <v>296</v>
      </c>
      <c r="N24" s="48" t="s">
        <v>298</v>
      </c>
      <c r="O24" s="47" t="s">
        <v>297</v>
      </c>
      <c r="P24" s="48" t="s">
        <v>298</v>
      </c>
      <c r="Q24" s="44" t="s">
        <v>313</v>
      </c>
      <c r="R24" s="44" t="s">
        <v>319</v>
      </c>
    </row>
    <row r="25" spans="1:18" ht="21.75" customHeight="1" x14ac:dyDescent="0.3">
      <c r="A25" s="60" t="s">
        <v>355</v>
      </c>
      <c r="B25" s="60"/>
      <c r="C25" s="60"/>
      <c r="D25" s="60"/>
      <c r="E25" s="60"/>
      <c r="F25" s="60"/>
      <c r="G25" s="60"/>
      <c r="H25" s="60"/>
      <c r="I25" s="60"/>
      <c r="J25" s="60"/>
      <c r="K25" s="60"/>
      <c r="L25" s="60"/>
      <c r="M25" s="60"/>
      <c r="N25" s="60"/>
      <c r="O25" s="60"/>
      <c r="P25" s="60"/>
      <c r="Q25" s="60"/>
      <c r="R25" s="60"/>
    </row>
    <row r="26" spans="1:18" ht="36" customHeight="1" x14ac:dyDescent="0.3">
      <c r="A26" s="44" t="s">
        <v>356</v>
      </c>
      <c r="B26" s="44" t="s">
        <v>357</v>
      </c>
      <c r="C26" s="44" t="s">
        <v>358</v>
      </c>
      <c r="D26" s="44" t="s">
        <v>359</v>
      </c>
      <c r="E26" s="47" t="s">
        <v>297</v>
      </c>
      <c r="F26" s="45" t="s">
        <v>295</v>
      </c>
      <c r="G26" s="47" t="s">
        <v>297</v>
      </c>
      <c r="H26" s="47" t="s">
        <v>297</v>
      </c>
      <c r="I26" s="48" t="s">
        <v>298</v>
      </c>
      <c r="J26" s="48" t="s">
        <v>298</v>
      </c>
      <c r="K26" s="46" t="s">
        <v>296</v>
      </c>
      <c r="L26" s="48" t="s">
        <v>298</v>
      </c>
      <c r="M26" s="47" t="s">
        <v>297</v>
      </c>
      <c r="N26" s="46" t="s">
        <v>296</v>
      </c>
      <c r="O26" s="47" t="s">
        <v>297</v>
      </c>
      <c r="P26" s="48" t="s">
        <v>298</v>
      </c>
      <c r="Q26" s="44" t="s">
        <v>299</v>
      </c>
      <c r="R26" s="44" t="s">
        <v>300</v>
      </c>
    </row>
    <row r="27" spans="1:18" ht="36" customHeight="1" x14ac:dyDescent="0.3">
      <c r="A27" s="44" t="s">
        <v>360</v>
      </c>
      <c r="B27" s="44" t="s">
        <v>357</v>
      </c>
      <c r="C27" s="44" t="s">
        <v>361</v>
      </c>
      <c r="D27" s="44" t="s">
        <v>362</v>
      </c>
      <c r="E27" s="47" t="s">
        <v>297</v>
      </c>
      <c r="F27" s="45" t="s">
        <v>295</v>
      </c>
      <c r="G27" s="47" t="s">
        <v>297</v>
      </c>
      <c r="H27" s="47" t="s">
        <v>297</v>
      </c>
      <c r="I27" s="48" t="s">
        <v>298</v>
      </c>
      <c r="J27" s="48" t="s">
        <v>298</v>
      </c>
      <c r="K27" s="48" t="s">
        <v>298</v>
      </c>
      <c r="L27" s="48" t="s">
        <v>298</v>
      </c>
      <c r="M27" s="46" t="s">
        <v>296</v>
      </c>
      <c r="N27" s="46" t="s">
        <v>296</v>
      </c>
      <c r="O27" s="46" t="s">
        <v>296</v>
      </c>
      <c r="P27" s="48" t="s">
        <v>298</v>
      </c>
      <c r="Q27" s="44" t="s">
        <v>299</v>
      </c>
      <c r="R27" s="44" t="s">
        <v>300</v>
      </c>
    </row>
    <row r="28" spans="1:18" ht="36" customHeight="1" x14ac:dyDescent="0.3">
      <c r="A28" s="44" t="s">
        <v>363</v>
      </c>
      <c r="B28" s="44" t="s">
        <v>357</v>
      </c>
      <c r="C28" s="44" t="s">
        <v>364</v>
      </c>
      <c r="D28" s="44" t="s">
        <v>365</v>
      </c>
      <c r="E28" s="47" t="s">
        <v>297</v>
      </c>
      <c r="F28" s="47" t="s">
        <v>297</v>
      </c>
      <c r="G28" s="45" t="s">
        <v>295</v>
      </c>
      <c r="H28" s="47" t="s">
        <v>297</v>
      </c>
      <c r="I28" s="48" t="s">
        <v>298</v>
      </c>
      <c r="J28" s="47" t="s">
        <v>297</v>
      </c>
      <c r="K28" s="48" t="s">
        <v>298</v>
      </c>
      <c r="L28" s="48" t="s">
        <v>298</v>
      </c>
      <c r="M28" s="47" t="s">
        <v>297</v>
      </c>
      <c r="N28" s="48" t="s">
        <v>298</v>
      </c>
      <c r="O28" s="48" t="s">
        <v>298</v>
      </c>
      <c r="P28" s="48" t="s">
        <v>298</v>
      </c>
      <c r="Q28" s="44" t="s">
        <v>299</v>
      </c>
      <c r="R28" s="44" t="s">
        <v>300</v>
      </c>
    </row>
    <row r="29" spans="1:18" ht="36" customHeight="1" x14ac:dyDescent="0.3">
      <c r="A29" s="44" t="s">
        <v>366</v>
      </c>
      <c r="B29" s="44" t="s">
        <v>357</v>
      </c>
      <c r="C29" s="44" t="s">
        <v>367</v>
      </c>
      <c r="D29" s="44" t="s">
        <v>368</v>
      </c>
      <c r="E29" s="47" t="s">
        <v>297</v>
      </c>
      <c r="F29" s="47" t="s">
        <v>297</v>
      </c>
      <c r="G29" s="45" t="s">
        <v>295</v>
      </c>
      <c r="H29" s="46" t="s">
        <v>296</v>
      </c>
      <c r="I29" s="48" t="s">
        <v>298</v>
      </c>
      <c r="J29" s="48" t="s">
        <v>298</v>
      </c>
      <c r="K29" s="48" t="s">
        <v>298</v>
      </c>
      <c r="L29" s="48" t="s">
        <v>298</v>
      </c>
      <c r="M29" s="46" t="s">
        <v>296</v>
      </c>
      <c r="N29" s="48" t="s">
        <v>298</v>
      </c>
      <c r="O29" s="48" t="s">
        <v>298</v>
      </c>
      <c r="P29" s="48" t="s">
        <v>298</v>
      </c>
      <c r="Q29" s="44" t="s">
        <v>299</v>
      </c>
      <c r="R29" s="44" t="s">
        <v>300</v>
      </c>
    </row>
    <row r="30" spans="1:18" ht="36" customHeight="1" x14ac:dyDescent="0.3">
      <c r="A30" s="44" t="s">
        <v>369</v>
      </c>
      <c r="B30" s="44" t="s">
        <v>357</v>
      </c>
      <c r="C30" s="44" t="s">
        <v>370</v>
      </c>
      <c r="D30" s="44" t="s">
        <v>371</v>
      </c>
      <c r="E30" s="47" t="s">
        <v>297</v>
      </c>
      <c r="F30" s="47" t="s">
        <v>297</v>
      </c>
      <c r="G30" s="45" t="s">
        <v>295</v>
      </c>
      <c r="H30" s="47" t="s">
        <v>297</v>
      </c>
      <c r="I30" s="48" t="s">
        <v>298</v>
      </c>
      <c r="J30" s="48" t="s">
        <v>298</v>
      </c>
      <c r="K30" s="48" t="s">
        <v>298</v>
      </c>
      <c r="L30" s="48" t="s">
        <v>298</v>
      </c>
      <c r="M30" s="46" t="s">
        <v>296</v>
      </c>
      <c r="N30" s="46" t="s">
        <v>296</v>
      </c>
      <c r="O30" s="46" t="s">
        <v>296</v>
      </c>
      <c r="P30" s="48" t="s">
        <v>298</v>
      </c>
      <c r="Q30" s="44" t="s">
        <v>299</v>
      </c>
      <c r="R30" s="44" t="s">
        <v>300</v>
      </c>
    </row>
    <row r="31" spans="1:18" ht="36" customHeight="1" x14ac:dyDescent="0.3">
      <c r="A31" s="44" t="s">
        <v>372</v>
      </c>
      <c r="B31" s="44" t="s">
        <v>357</v>
      </c>
      <c r="C31" s="44" t="s">
        <v>373</v>
      </c>
      <c r="D31" s="44" t="s">
        <v>374</v>
      </c>
      <c r="E31" s="47" t="s">
        <v>297</v>
      </c>
      <c r="F31" s="45" t="s">
        <v>295</v>
      </c>
      <c r="G31" s="47" t="s">
        <v>297</v>
      </c>
      <c r="H31" s="47" t="s">
        <v>297</v>
      </c>
      <c r="I31" s="48" t="s">
        <v>298</v>
      </c>
      <c r="J31" s="48" t="s">
        <v>298</v>
      </c>
      <c r="K31" s="48" t="s">
        <v>298</v>
      </c>
      <c r="L31" s="48" t="s">
        <v>298</v>
      </c>
      <c r="M31" s="46" t="s">
        <v>296</v>
      </c>
      <c r="N31" s="48" t="s">
        <v>298</v>
      </c>
      <c r="O31" s="47" t="s">
        <v>297</v>
      </c>
      <c r="P31" s="48" t="s">
        <v>298</v>
      </c>
      <c r="Q31" s="44" t="s">
        <v>299</v>
      </c>
      <c r="R31" s="44" t="s">
        <v>300</v>
      </c>
    </row>
    <row r="32" spans="1:18" ht="36" customHeight="1" x14ac:dyDescent="0.3">
      <c r="A32" s="44" t="s">
        <v>375</v>
      </c>
      <c r="B32" s="44" t="s">
        <v>357</v>
      </c>
      <c r="C32" s="44" t="s">
        <v>376</v>
      </c>
      <c r="D32" s="44" t="s">
        <v>377</v>
      </c>
      <c r="E32" s="47" t="s">
        <v>297</v>
      </c>
      <c r="F32" s="45" t="s">
        <v>295</v>
      </c>
      <c r="G32" s="47" t="s">
        <v>297</v>
      </c>
      <c r="H32" s="47" t="s">
        <v>297</v>
      </c>
      <c r="I32" s="48" t="s">
        <v>298</v>
      </c>
      <c r="J32" s="48" t="s">
        <v>298</v>
      </c>
      <c r="K32" s="48" t="s">
        <v>298</v>
      </c>
      <c r="L32" s="48" t="s">
        <v>298</v>
      </c>
      <c r="M32" s="46" t="s">
        <v>296</v>
      </c>
      <c r="N32" s="48" t="s">
        <v>298</v>
      </c>
      <c r="O32" s="47" t="s">
        <v>297</v>
      </c>
      <c r="P32" s="48" t="s">
        <v>298</v>
      </c>
      <c r="Q32" s="44" t="s">
        <v>313</v>
      </c>
      <c r="R32" s="44" t="s">
        <v>319</v>
      </c>
    </row>
    <row r="33" spans="1:18" ht="21.75" customHeight="1" x14ac:dyDescent="0.3">
      <c r="A33" s="60" t="s">
        <v>378</v>
      </c>
      <c r="B33" s="60"/>
      <c r="C33" s="60"/>
      <c r="D33" s="60"/>
      <c r="E33" s="60"/>
      <c r="F33" s="60"/>
      <c r="G33" s="60"/>
      <c r="H33" s="60"/>
      <c r="I33" s="60"/>
      <c r="J33" s="60"/>
      <c r="K33" s="60"/>
      <c r="L33" s="60"/>
      <c r="M33" s="60"/>
      <c r="N33" s="60"/>
      <c r="O33" s="60"/>
      <c r="P33" s="60"/>
      <c r="Q33" s="60"/>
      <c r="R33" s="60"/>
    </row>
    <row r="34" spans="1:18" ht="36" customHeight="1" x14ac:dyDescent="0.3">
      <c r="A34" s="44" t="s">
        <v>379</v>
      </c>
      <c r="B34" s="44" t="s">
        <v>380</v>
      </c>
      <c r="C34" s="44" t="s">
        <v>381</v>
      </c>
      <c r="D34" s="44" t="s">
        <v>382</v>
      </c>
      <c r="E34" s="45" t="s">
        <v>295</v>
      </c>
      <c r="F34" s="48" t="s">
        <v>298</v>
      </c>
      <c r="G34" s="47" t="s">
        <v>297</v>
      </c>
      <c r="H34" s="46" t="s">
        <v>296</v>
      </c>
      <c r="I34" s="48" t="s">
        <v>298</v>
      </c>
      <c r="J34" s="46" t="s">
        <v>296</v>
      </c>
      <c r="K34" s="48" t="s">
        <v>298</v>
      </c>
      <c r="L34" s="46" t="s">
        <v>296</v>
      </c>
      <c r="M34" s="47" t="s">
        <v>297</v>
      </c>
      <c r="N34" s="46" t="s">
        <v>296</v>
      </c>
      <c r="O34" s="48" t="s">
        <v>298</v>
      </c>
      <c r="P34" s="48" t="s">
        <v>298</v>
      </c>
      <c r="Q34" s="44" t="s">
        <v>313</v>
      </c>
      <c r="R34" s="44" t="s">
        <v>300</v>
      </c>
    </row>
    <row r="35" spans="1:18" ht="36" customHeight="1" x14ac:dyDescent="0.3">
      <c r="A35" s="44" t="s">
        <v>383</v>
      </c>
      <c r="B35" s="44" t="s">
        <v>380</v>
      </c>
      <c r="C35" s="44" t="s">
        <v>384</v>
      </c>
      <c r="D35" s="44" t="s">
        <v>385</v>
      </c>
      <c r="E35" s="45" t="s">
        <v>295</v>
      </c>
      <c r="F35" s="46" t="s">
        <v>296</v>
      </c>
      <c r="G35" s="47" t="s">
        <v>297</v>
      </c>
      <c r="H35" s="47" t="s">
        <v>297</v>
      </c>
      <c r="I35" s="48" t="s">
        <v>298</v>
      </c>
      <c r="J35" s="47" t="s">
        <v>297</v>
      </c>
      <c r="K35" s="48" t="s">
        <v>298</v>
      </c>
      <c r="L35" s="46" t="s">
        <v>296</v>
      </c>
      <c r="M35" s="47" t="s">
        <v>297</v>
      </c>
      <c r="N35" s="46" t="s">
        <v>296</v>
      </c>
      <c r="O35" s="47" t="s">
        <v>297</v>
      </c>
      <c r="P35" s="48" t="s">
        <v>298</v>
      </c>
      <c r="Q35" s="44" t="s">
        <v>313</v>
      </c>
      <c r="R35" s="44" t="s">
        <v>319</v>
      </c>
    </row>
    <row r="36" spans="1:18" ht="36" customHeight="1" x14ac:dyDescent="0.3">
      <c r="A36" s="44" t="s">
        <v>386</v>
      </c>
      <c r="B36" s="44" t="s">
        <v>380</v>
      </c>
      <c r="C36" s="44" t="s">
        <v>387</v>
      </c>
      <c r="D36" s="44" t="s">
        <v>388</v>
      </c>
      <c r="E36" s="45" t="s">
        <v>295</v>
      </c>
      <c r="F36" s="48" t="s">
        <v>298</v>
      </c>
      <c r="G36" s="46" t="s">
        <v>296</v>
      </c>
      <c r="H36" s="47" t="s">
        <v>297</v>
      </c>
      <c r="I36" s="48" t="s">
        <v>298</v>
      </c>
      <c r="J36" s="47" t="s">
        <v>297</v>
      </c>
      <c r="K36" s="48" t="s">
        <v>298</v>
      </c>
      <c r="L36" s="48" t="s">
        <v>298</v>
      </c>
      <c r="M36" s="46" t="s">
        <v>296</v>
      </c>
      <c r="N36" s="48" t="s">
        <v>298</v>
      </c>
      <c r="O36" s="47" t="s">
        <v>297</v>
      </c>
      <c r="P36" s="48" t="s">
        <v>298</v>
      </c>
      <c r="Q36" s="44" t="s">
        <v>313</v>
      </c>
      <c r="R36" s="44" t="s">
        <v>319</v>
      </c>
    </row>
    <row r="37" spans="1:18" ht="36" customHeight="1" x14ac:dyDescent="0.3">
      <c r="A37" s="44" t="s">
        <v>389</v>
      </c>
      <c r="B37" s="44" t="s">
        <v>380</v>
      </c>
      <c r="C37" s="44" t="s">
        <v>390</v>
      </c>
      <c r="D37" s="44" t="s">
        <v>391</v>
      </c>
      <c r="E37" s="45" t="s">
        <v>295</v>
      </c>
      <c r="F37" s="47" t="s">
        <v>297</v>
      </c>
      <c r="G37" s="47" t="s">
        <v>297</v>
      </c>
      <c r="H37" s="47" t="s">
        <v>297</v>
      </c>
      <c r="I37" s="46" t="s">
        <v>296</v>
      </c>
      <c r="J37" s="48" t="s">
        <v>298</v>
      </c>
      <c r="K37" s="46" t="s">
        <v>296</v>
      </c>
      <c r="L37" s="48" t="s">
        <v>298</v>
      </c>
      <c r="M37" s="46" t="s">
        <v>296</v>
      </c>
      <c r="N37" s="46" t="s">
        <v>296</v>
      </c>
      <c r="O37" s="47" t="s">
        <v>297</v>
      </c>
      <c r="P37" s="48" t="s">
        <v>298</v>
      </c>
      <c r="Q37" s="44" t="s">
        <v>299</v>
      </c>
      <c r="R37" s="44" t="s">
        <v>300</v>
      </c>
    </row>
    <row r="38" spans="1:18" ht="36" customHeight="1" x14ac:dyDescent="0.3">
      <c r="A38" s="44" t="s">
        <v>392</v>
      </c>
      <c r="B38" s="44" t="s">
        <v>380</v>
      </c>
      <c r="C38" s="44" t="s">
        <v>393</v>
      </c>
      <c r="D38" s="44" t="s">
        <v>394</v>
      </c>
      <c r="E38" s="45" t="s">
        <v>295</v>
      </c>
      <c r="F38" s="47" t="s">
        <v>297</v>
      </c>
      <c r="G38" s="46" t="s">
        <v>296</v>
      </c>
      <c r="H38" s="47" t="s">
        <v>297</v>
      </c>
      <c r="I38" s="48" t="s">
        <v>298</v>
      </c>
      <c r="J38" s="48" t="s">
        <v>298</v>
      </c>
      <c r="K38" s="46" t="s">
        <v>296</v>
      </c>
      <c r="L38" s="48" t="s">
        <v>298</v>
      </c>
      <c r="M38" s="46" t="s">
        <v>296</v>
      </c>
      <c r="N38" s="48" t="s">
        <v>298</v>
      </c>
      <c r="O38" s="47" t="s">
        <v>297</v>
      </c>
      <c r="P38" s="48" t="s">
        <v>298</v>
      </c>
      <c r="Q38" s="44" t="s">
        <v>313</v>
      </c>
      <c r="R38" s="44" t="s">
        <v>319</v>
      </c>
    </row>
    <row r="39" spans="1:18" ht="36" customHeight="1" x14ac:dyDescent="0.3">
      <c r="A39" s="44" t="s">
        <v>395</v>
      </c>
      <c r="B39" s="44" t="s">
        <v>380</v>
      </c>
      <c r="C39" s="44" t="s">
        <v>396</v>
      </c>
      <c r="D39" s="44" t="s">
        <v>397</v>
      </c>
      <c r="E39" s="46" t="s">
        <v>296</v>
      </c>
      <c r="F39" s="45" t="s">
        <v>295</v>
      </c>
      <c r="G39" s="46" t="s">
        <v>296</v>
      </c>
      <c r="H39" s="47" t="s">
        <v>297</v>
      </c>
      <c r="I39" s="48" t="s">
        <v>298</v>
      </c>
      <c r="J39" s="48" t="s">
        <v>298</v>
      </c>
      <c r="K39" s="47" t="s">
        <v>297</v>
      </c>
      <c r="L39" s="48" t="s">
        <v>298</v>
      </c>
      <c r="M39" s="46" t="s">
        <v>296</v>
      </c>
      <c r="N39" s="48" t="s">
        <v>298</v>
      </c>
      <c r="O39" s="47" t="s">
        <v>297</v>
      </c>
      <c r="P39" s="48" t="s">
        <v>298</v>
      </c>
      <c r="Q39" s="44" t="s">
        <v>313</v>
      </c>
      <c r="R39" s="44" t="s">
        <v>319</v>
      </c>
    </row>
    <row r="40" spans="1:18" ht="21.75" customHeight="1" x14ac:dyDescent="0.3">
      <c r="A40" s="60" t="s">
        <v>398</v>
      </c>
      <c r="B40" s="60"/>
      <c r="C40" s="60"/>
      <c r="D40" s="60"/>
      <c r="E40" s="60"/>
      <c r="F40" s="60"/>
      <c r="G40" s="60"/>
      <c r="H40" s="60"/>
      <c r="I40" s="60"/>
      <c r="J40" s="60"/>
      <c r="K40" s="60"/>
      <c r="L40" s="60"/>
      <c r="M40" s="60"/>
      <c r="N40" s="60"/>
      <c r="O40" s="60"/>
      <c r="P40" s="60"/>
      <c r="Q40" s="60"/>
      <c r="R40" s="60"/>
    </row>
    <row r="41" spans="1:18" ht="36" customHeight="1" x14ac:dyDescent="0.3">
      <c r="A41" s="44" t="s">
        <v>399</v>
      </c>
      <c r="B41" s="44" t="s">
        <v>400</v>
      </c>
      <c r="C41" s="44" t="s">
        <v>401</v>
      </c>
      <c r="D41" s="44" t="s">
        <v>402</v>
      </c>
      <c r="E41" s="45" t="s">
        <v>295</v>
      </c>
      <c r="F41" s="47" t="s">
        <v>297</v>
      </c>
      <c r="G41" s="47" t="s">
        <v>297</v>
      </c>
      <c r="H41" s="47" t="s">
        <v>297</v>
      </c>
      <c r="I41" s="46" t="s">
        <v>296</v>
      </c>
      <c r="J41" s="47" t="s">
        <v>297</v>
      </c>
      <c r="K41" s="48" t="s">
        <v>298</v>
      </c>
      <c r="L41" s="48" t="s">
        <v>298</v>
      </c>
      <c r="M41" s="47" t="s">
        <v>297</v>
      </c>
      <c r="N41" s="46" t="s">
        <v>296</v>
      </c>
      <c r="O41" s="47" t="s">
        <v>297</v>
      </c>
      <c r="P41" s="48" t="s">
        <v>298</v>
      </c>
      <c r="Q41" s="44" t="s">
        <v>299</v>
      </c>
      <c r="R41" s="44" t="s">
        <v>300</v>
      </c>
    </row>
    <row r="42" spans="1:18" ht="36" customHeight="1" x14ac:dyDescent="0.3">
      <c r="A42" s="44" t="s">
        <v>403</v>
      </c>
      <c r="B42" s="44" t="s">
        <v>400</v>
      </c>
      <c r="C42" s="44" t="s">
        <v>404</v>
      </c>
      <c r="D42" s="44" t="s">
        <v>405</v>
      </c>
      <c r="E42" s="45" t="s">
        <v>295</v>
      </c>
      <c r="F42" s="48" t="s">
        <v>298</v>
      </c>
      <c r="G42" s="47" t="s">
        <v>297</v>
      </c>
      <c r="H42" s="48" t="s">
        <v>298</v>
      </c>
      <c r="I42" s="46" t="s">
        <v>296</v>
      </c>
      <c r="J42" s="46" t="s">
        <v>296</v>
      </c>
      <c r="K42" s="48" t="s">
        <v>298</v>
      </c>
      <c r="L42" s="46" t="s">
        <v>296</v>
      </c>
      <c r="M42" s="47" t="s">
        <v>297</v>
      </c>
      <c r="N42" s="48" t="s">
        <v>298</v>
      </c>
      <c r="O42" s="48" t="s">
        <v>298</v>
      </c>
      <c r="P42" s="48" t="s">
        <v>298</v>
      </c>
      <c r="Q42" s="44" t="s">
        <v>313</v>
      </c>
      <c r="R42" s="44" t="s">
        <v>319</v>
      </c>
    </row>
    <row r="43" spans="1:18" ht="36" customHeight="1" x14ac:dyDescent="0.3">
      <c r="A43" s="44" t="s">
        <v>406</v>
      </c>
      <c r="B43" s="44" t="s">
        <v>400</v>
      </c>
      <c r="C43" s="44" t="s">
        <v>407</v>
      </c>
      <c r="D43" s="44" t="s">
        <v>408</v>
      </c>
      <c r="E43" s="45" t="s">
        <v>295</v>
      </c>
      <c r="F43" s="48" t="s">
        <v>298</v>
      </c>
      <c r="G43" s="47" t="s">
        <v>297</v>
      </c>
      <c r="H43" s="46" t="s">
        <v>296</v>
      </c>
      <c r="I43" s="48" t="s">
        <v>298</v>
      </c>
      <c r="J43" s="46" t="s">
        <v>296</v>
      </c>
      <c r="K43" s="48" t="s">
        <v>298</v>
      </c>
      <c r="L43" s="46" t="s">
        <v>296</v>
      </c>
      <c r="M43" s="47" t="s">
        <v>297</v>
      </c>
      <c r="N43" s="48" t="s">
        <v>298</v>
      </c>
      <c r="O43" s="48" t="s">
        <v>298</v>
      </c>
      <c r="P43" s="48" t="s">
        <v>298</v>
      </c>
      <c r="Q43" s="44" t="s">
        <v>313</v>
      </c>
      <c r="R43" s="44" t="s">
        <v>319</v>
      </c>
    </row>
    <row r="44" spans="1:18" ht="36" customHeight="1" x14ac:dyDescent="0.3">
      <c r="A44" s="44" t="s">
        <v>409</v>
      </c>
      <c r="B44" s="44" t="s">
        <v>400</v>
      </c>
      <c r="C44" s="44" t="s">
        <v>410</v>
      </c>
      <c r="D44" s="44" t="s">
        <v>411</v>
      </c>
      <c r="E44" s="45" t="s">
        <v>295</v>
      </c>
      <c r="F44" s="47" t="s">
        <v>297</v>
      </c>
      <c r="G44" s="47" t="s">
        <v>297</v>
      </c>
      <c r="H44" s="47" t="s">
        <v>297</v>
      </c>
      <c r="I44" s="48" t="s">
        <v>298</v>
      </c>
      <c r="J44" s="47" t="s">
        <v>297</v>
      </c>
      <c r="K44" s="48" t="s">
        <v>298</v>
      </c>
      <c r="L44" s="48" t="s">
        <v>298</v>
      </c>
      <c r="M44" s="47" t="s">
        <v>297</v>
      </c>
      <c r="N44" s="46" t="s">
        <v>296</v>
      </c>
      <c r="O44" s="47" t="s">
        <v>297</v>
      </c>
      <c r="P44" s="48" t="s">
        <v>298</v>
      </c>
      <c r="Q44" s="44" t="s">
        <v>299</v>
      </c>
      <c r="R44" s="44" t="s">
        <v>300</v>
      </c>
    </row>
    <row r="45" spans="1:18" ht="21.75" customHeight="1" x14ac:dyDescent="0.3">
      <c r="A45" s="60" t="s">
        <v>412</v>
      </c>
      <c r="B45" s="60"/>
      <c r="C45" s="60"/>
      <c r="D45" s="60"/>
      <c r="E45" s="60"/>
      <c r="F45" s="60"/>
      <c r="G45" s="60"/>
      <c r="H45" s="60"/>
      <c r="I45" s="60"/>
      <c r="J45" s="60"/>
      <c r="K45" s="60"/>
      <c r="L45" s="60"/>
      <c r="M45" s="60"/>
      <c r="N45" s="60"/>
      <c r="O45" s="60"/>
      <c r="P45" s="60"/>
      <c r="Q45" s="60"/>
      <c r="R45" s="60"/>
    </row>
    <row r="46" spans="1:18" ht="36" customHeight="1" x14ac:dyDescent="0.3">
      <c r="A46" s="44" t="s">
        <v>413</v>
      </c>
      <c r="B46" s="44" t="s">
        <v>414</v>
      </c>
      <c r="C46" s="44" t="s">
        <v>415</v>
      </c>
      <c r="D46" s="44" t="s">
        <v>416</v>
      </c>
      <c r="E46" s="47" t="s">
        <v>297</v>
      </c>
      <c r="F46" s="46" t="s">
        <v>296</v>
      </c>
      <c r="G46" s="47" t="s">
        <v>297</v>
      </c>
      <c r="H46" s="48" t="s">
        <v>298</v>
      </c>
      <c r="I46" s="46" t="s">
        <v>296</v>
      </c>
      <c r="J46" s="48" t="s">
        <v>298</v>
      </c>
      <c r="K46" s="48" t="s">
        <v>298</v>
      </c>
      <c r="L46" s="48" t="s">
        <v>298</v>
      </c>
      <c r="M46" s="48" t="s">
        <v>298</v>
      </c>
      <c r="N46" s="48" t="s">
        <v>298</v>
      </c>
      <c r="O46" s="48" t="s">
        <v>298</v>
      </c>
      <c r="P46" s="45" t="s">
        <v>295</v>
      </c>
      <c r="Q46" s="44" t="s">
        <v>299</v>
      </c>
      <c r="R46" s="44" t="s">
        <v>300</v>
      </c>
    </row>
    <row r="47" spans="1:18" ht="36" customHeight="1" x14ac:dyDescent="0.3">
      <c r="A47" s="44" t="s">
        <v>417</v>
      </c>
      <c r="B47" s="44" t="s">
        <v>414</v>
      </c>
      <c r="C47" s="44" t="s">
        <v>418</v>
      </c>
      <c r="D47" s="44" t="s">
        <v>419</v>
      </c>
      <c r="E47" s="45" t="s">
        <v>295</v>
      </c>
      <c r="F47" s="46" t="s">
        <v>296</v>
      </c>
      <c r="G47" s="47" t="s">
        <v>297</v>
      </c>
      <c r="H47" s="48" t="s">
        <v>298</v>
      </c>
      <c r="I47" s="48" t="s">
        <v>298</v>
      </c>
      <c r="J47" s="48" t="s">
        <v>298</v>
      </c>
      <c r="K47" s="47" t="s">
        <v>297</v>
      </c>
      <c r="L47" s="48" t="s">
        <v>298</v>
      </c>
      <c r="M47" s="48" t="s">
        <v>298</v>
      </c>
      <c r="N47" s="48" t="s">
        <v>298</v>
      </c>
      <c r="O47" s="48" t="s">
        <v>298</v>
      </c>
      <c r="P47" s="48" t="s">
        <v>298</v>
      </c>
      <c r="Q47" s="44" t="s">
        <v>313</v>
      </c>
      <c r="R47" s="44" t="s">
        <v>319</v>
      </c>
    </row>
    <row r="48" spans="1:18" ht="36" customHeight="1" x14ac:dyDescent="0.3">
      <c r="A48" s="44" t="s">
        <v>420</v>
      </c>
      <c r="B48" s="44" t="s">
        <v>414</v>
      </c>
      <c r="C48" s="44" t="s">
        <v>421</v>
      </c>
      <c r="D48" s="44" t="s">
        <v>422</v>
      </c>
      <c r="E48" s="45" t="s">
        <v>295</v>
      </c>
      <c r="F48" s="47" t="s">
        <v>297</v>
      </c>
      <c r="G48" s="47" t="s">
        <v>297</v>
      </c>
      <c r="H48" s="46" t="s">
        <v>296</v>
      </c>
      <c r="I48" s="46" t="s">
        <v>296</v>
      </c>
      <c r="J48" s="46" t="s">
        <v>296</v>
      </c>
      <c r="K48" s="48" t="s">
        <v>298</v>
      </c>
      <c r="L48" s="46" t="s">
        <v>296</v>
      </c>
      <c r="M48" s="46" t="s">
        <v>296</v>
      </c>
      <c r="N48" s="46" t="s">
        <v>296</v>
      </c>
      <c r="O48" s="48" t="s">
        <v>298</v>
      </c>
      <c r="P48" s="48" t="s">
        <v>298</v>
      </c>
      <c r="Q48" s="44" t="s">
        <v>299</v>
      </c>
      <c r="R48" s="44" t="s">
        <v>319</v>
      </c>
    </row>
    <row r="49" spans="1:18" ht="36" customHeight="1" x14ac:dyDescent="0.3">
      <c r="A49" s="44" t="s">
        <v>423</v>
      </c>
      <c r="B49" s="44" t="s">
        <v>414</v>
      </c>
      <c r="C49" s="44" t="s">
        <v>424</v>
      </c>
      <c r="D49" s="44" t="s">
        <v>422</v>
      </c>
      <c r="E49" s="45" t="s">
        <v>295</v>
      </c>
      <c r="F49" s="47" t="s">
        <v>297</v>
      </c>
      <c r="G49" s="47" t="s">
        <v>297</v>
      </c>
      <c r="H49" s="46" t="s">
        <v>296</v>
      </c>
      <c r="I49" s="46" t="s">
        <v>296</v>
      </c>
      <c r="J49" s="48" t="s">
        <v>298</v>
      </c>
      <c r="K49" s="46" t="s">
        <v>296</v>
      </c>
      <c r="L49" s="46" t="s">
        <v>296</v>
      </c>
      <c r="M49" s="46" t="s">
        <v>296</v>
      </c>
      <c r="N49" s="46" t="s">
        <v>296</v>
      </c>
      <c r="O49" s="48" t="s">
        <v>298</v>
      </c>
      <c r="P49" s="48" t="s">
        <v>298</v>
      </c>
      <c r="Q49" s="44" t="s">
        <v>299</v>
      </c>
      <c r="R49" s="44" t="s">
        <v>319</v>
      </c>
    </row>
    <row r="50" spans="1:18" ht="36" customHeight="1" x14ac:dyDescent="0.3">
      <c r="A50" s="44" t="s">
        <v>425</v>
      </c>
      <c r="B50" s="44" t="s">
        <v>414</v>
      </c>
      <c r="C50" s="44" t="s">
        <v>426</v>
      </c>
      <c r="D50" s="44" t="s">
        <v>427</v>
      </c>
      <c r="E50" s="45" t="s">
        <v>295</v>
      </c>
      <c r="F50" s="46" t="s">
        <v>296</v>
      </c>
      <c r="G50" s="47" t="s">
        <v>297</v>
      </c>
      <c r="H50" s="48" t="s">
        <v>298</v>
      </c>
      <c r="I50" s="48" t="s">
        <v>298</v>
      </c>
      <c r="J50" s="48" t="s">
        <v>298</v>
      </c>
      <c r="K50" s="48" t="s">
        <v>298</v>
      </c>
      <c r="L50" s="48" t="s">
        <v>298</v>
      </c>
      <c r="M50" s="48" t="s">
        <v>298</v>
      </c>
      <c r="N50" s="48" t="s">
        <v>298</v>
      </c>
      <c r="O50" s="48" t="s">
        <v>298</v>
      </c>
      <c r="P50" s="48" t="s">
        <v>298</v>
      </c>
      <c r="Q50" s="44" t="s">
        <v>313</v>
      </c>
      <c r="R50" s="44" t="s">
        <v>319</v>
      </c>
    </row>
    <row r="51" spans="1:18" ht="36" customHeight="1" x14ac:dyDescent="0.3">
      <c r="A51" s="44" t="s">
        <v>428</v>
      </c>
      <c r="B51" s="44" t="s">
        <v>414</v>
      </c>
      <c r="C51" s="44" t="s">
        <v>429</v>
      </c>
      <c r="D51" s="44" t="s">
        <v>430</v>
      </c>
      <c r="E51" s="46" t="s">
        <v>296</v>
      </c>
      <c r="F51" s="45" t="s">
        <v>295</v>
      </c>
      <c r="G51" s="46" t="s">
        <v>296</v>
      </c>
      <c r="H51" s="47" t="s">
        <v>297</v>
      </c>
      <c r="I51" s="48" t="s">
        <v>298</v>
      </c>
      <c r="J51" s="47" t="s">
        <v>297</v>
      </c>
      <c r="K51" s="46" t="s">
        <v>296</v>
      </c>
      <c r="L51" s="48" t="s">
        <v>298</v>
      </c>
      <c r="M51" s="46" t="s">
        <v>296</v>
      </c>
      <c r="N51" s="48" t="s">
        <v>298</v>
      </c>
      <c r="O51" s="47" t="s">
        <v>297</v>
      </c>
      <c r="P51" s="48" t="s">
        <v>298</v>
      </c>
      <c r="Q51" s="44" t="s">
        <v>313</v>
      </c>
      <c r="R51" s="44" t="s">
        <v>319</v>
      </c>
    </row>
    <row r="52" spans="1:18" ht="36" customHeight="1" x14ac:dyDescent="0.3">
      <c r="A52" s="44" t="s">
        <v>431</v>
      </c>
      <c r="B52" s="44" t="s">
        <v>414</v>
      </c>
      <c r="C52" s="44" t="s">
        <v>432</v>
      </c>
      <c r="D52" s="44" t="s">
        <v>433</v>
      </c>
      <c r="E52" s="45" t="s">
        <v>295</v>
      </c>
      <c r="F52" s="47" t="s">
        <v>297</v>
      </c>
      <c r="G52" s="47" t="s">
        <v>297</v>
      </c>
      <c r="H52" s="47" t="s">
        <v>297</v>
      </c>
      <c r="I52" s="48" t="s">
        <v>298</v>
      </c>
      <c r="J52" s="48" t="s">
        <v>298</v>
      </c>
      <c r="K52" s="48" t="s">
        <v>298</v>
      </c>
      <c r="L52" s="48" t="s">
        <v>298</v>
      </c>
      <c r="M52" s="46" t="s">
        <v>296</v>
      </c>
      <c r="N52" s="48" t="s">
        <v>298</v>
      </c>
      <c r="O52" s="47" t="s">
        <v>297</v>
      </c>
      <c r="P52" s="48" t="s">
        <v>298</v>
      </c>
      <c r="Q52" s="44" t="s">
        <v>313</v>
      </c>
      <c r="R52" s="44" t="s">
        <v>434</v>
      </c>
    </row>
    <row r="53" spans="1:18" ht="21.75" customHeight="1" x14ac:dyDescent="0.3">
      <c r="A53" s="60" t="s">
        <v>435</v>
      </c>
      <c r="B53" s="60"/>
      <c r="C53" s="60"/>
      <c r="D53" s="60"/>
      <c r="E53" s="60"/>
      <c r="F53" s="60"/>
      <c r="G53" s="60"/>
      <c r="H53" s="60"/>
      <c r="I53" s="60"/>
      <c r="J53" s="60"/>
      <c r="K53" s="60"/>
      <c r="L53" s="60"/>
      <c r="M53" s="60"/>
      <c r="N53" s="60"/>
      <c r="O53" s="60"/>
      <c r="P53" s="60"/>
      <c r="Q53" s="60"/>
      <c r="R53" s="60"/>
    </row>
    <row r="54" spans="1:18" ht="36" customHeight="1" x14ac:dyDescent="0.3">
      <c r="A54" s="44" t="s">
        <v>436</v>
      </c>
      <c r="B54" s="44" t="s">
        <v>437</v>
      </c>
      <c r="C54" s="44" t="s">
        <v>438</v>
      </c>
      <c r="D54" s="44" t="s">
        <v>439</v>
      </c>
      <c r="E54" s="45" t="s">
        <v>295</v>
      </c>
      <c r="F54" s="48" t="s">
        <v>298</v>
      </c>
      <c r="G54" s="47" t="s">
        <v>297</v>
      </c>
      <c r="H54" s="47" t="s">
        <v>297</v>
      </c>
      <c r="I54" s="48" t="s">
        <v>298</v>
      </c>
      <c r="J54" s="47" t="s">
        <v>297</v>
      </c>
      <c r="K54" s="48" t="s">
        <v>298</v>
      </c>
      <c r="L54" s="48" t="s">
        <v>298</v>
      </c>
      <c r="M54" s="46" t="s">
        <v>296</v>
      </c>
      <c r="N54" s="46" t="s">
        <v>296</v>
      </c>
      <c r="O54" s="48" t="s">
        <v>298</v>
      </c>
      <c r="P54" s="48" t="s">
        <v>298</v>
      </c>
      <c r="Q54" s="44" t="s">
        <v>299</v>
      </c>
      <c r="R54" s="44" t="s">
        <v>300</v>
      </c>
    </row>
    <row r="55" spans="1:18" ht="36" customHeight="1" x14ac:dyDescent="0.3">
      <c r="A55" s="44" t="s">
        <v>440</v>
      </c>
      <c r="B55" s="44" t="s">
        <v>437</v>
      </c>
      <c r="C55" s="44" t="s">
        <v>441</v>
      </c>
      <c r="D55" s="44" t="s">
        <v>442</v>
      </c>
      <c r="E55" s="45" t="s">
        <v>295</v>
      </c>
      <c r="F55" s="48" t="s">
        <v>298</v>
      </c>
      <c r="G55" s="46" t="s">
        <v>296</v>
      </c>
      <c r="H55" s="47" t="s">
        <v>297</v>
      </c>
      <c r="I55" s="48" t="s">
        <v>298</v>
      </c>
      <c r="J55" s="47" t="s">
        <v>297</v>
      </c>
      <c r="K55" s="48" t="s">
        <v>298</v>
      </c>
      <c r="L55" s="48" t="s">
        <v>298</v>
      </c>
      <c r="M55" s="47" t="s">
        <v>297</v>
      </c>
      <c r="N55" s="46" t="s">
        <v>296</v>
      </c>
      <c r="O55" s="46" t="s">
        <v>296</v>
      </c>
      <c r="P55" s="48" t="s">
        <v>298</v>
      </c>
      <c r="Q55" s="44" t="s">
        <v>313</v>
      </c>
      <c r="R55" s="44" t="s">
        <v>319</v>
      </c>
    </row>
    <row r="56" spans="1:18" ht="36" customHeight="1" x14ac:dyDescent="0.3">
      <c r="A56" s="44" t="s">
        <v>443</v>
      </c>
      <c r="B56" s="44" t="s">
        <v>437</v>
      </c>
      <c r="C56" s="44" t="s">
        <v>444</v>
      </c>
      <c r="D56" s="44" t="s">
        <v>445</v>
      </c>
      <c r="E56" s="45" t="s">
        <v>295</v>
      </c>
      <c r="F56" s="47" t="s">
        <v>297</v>
      </c>
      <c r="G56" s="47" t="s">
        <v>297</v>
      </c>
      <c r="H56" s="47" t="s">
        <v>297</v>
      </c>
      <c r="I56" s="48" t="s">
        <v>298</v>
      </c>
      <c r="J56" s="48" t="s">
        <v>298</v>
      </c>
      <c r="K56" s="48" t="s">
        <v>298</v>
      </c>
      <c r="L56" s="48" t="s">
        <v>298</v>
      </c>
      <c r="M56" s="46" t="s">
        <v>296</v>
      </c>
      <c r="N56" s="46" t="s">
        <v>296</v>
      </c>
      <c r="O56" s="46" t="s">
        <v>296</v>
      </c>
      <c r="P56" s="48" t="s">
        <v>298</v>
      </c>
      <c r="Q56" s="44" t="s">
        <v>313</v>
      </c>
      <c r="R56" s="44" t="s">
        <v>319</v>
      </c>
    </row>
    <row r="57" spans="1:18" ht="36" customHeight="1" x14ac:dyDescent="0.3">
      <c r="A57" s="44" t="s">
        <v>446</v>
      </c>
      <c r="B57" s="44" t="s">
        <v>437</v>
      </c>
      <c r="C57" s="44" t="s">
        <v>447</v>
      </c>
      <c r="D57" s="44" t="s">
        <v>448</v>
      </c>
      <c r="E57" s="45" t="s">
        <v>295</v>
      </c>
      <c r="F57" s="48" t="s">
        <v>298</v>
      </c>
      <c r="G57" s="47" t="s">
        <v>297</v>
      </c>
      <c r="H57" s="47" t="s">
        <v>297</v>
      </c>
      <c r="I57" s="48" t="s">
        <v>298</v>
      </c>
      <c r="J57" s="48" t="s">
        <v>298</v>
      </c>
      <c r="K57" s="48" t="s">
        <v>298</v>
      </c>
      <c r="L57" s="48" t="s">
        <v>298</v>
      </c>
      <c r="M57" s="47" t="s">
        <v>297</v>
      </c>
      <c r="N57" s="46" t="s">
        <v>296</v>
      </c>
      <c r="O57" s="46" t="s">
        <v>296</v>
      </c>
      <c r="P57" s="48" t="s">
        <v>298</v>
      </c>
      <c r="Q57" s="44" t="s">
        <v>313</v>
      </c>
      <c r="R57" s="44" t="s">
        <v>319</v>
      </c>
    </row>
    <row r="58" spans="1:18" ht="36" customHeight="1" x14ac:dyDescent="0.3">
      <c r="A58" s="44" t="s">
        <v>449</v>
      </c>
      <c r="B58" s="44" t="s">
        <v>437</v>
      </c>
      <c r="C58" s="44" t="s">
        <v>450</v>
      </c>
      <c r="D58" s="44" t="s">
        <v>451</v>
      </c>
      <c r="E58" s="45" t="s">
        <v>295</v>
      </c>
      <c r="F58" s="46" t="s">
        <v>296</v>
      </c>
      <c r="G58" s="47" t="s">
        <v>297</v>
      </c>
      <c r="H58" s="47" t="s">
        <v>297</v>
      </c>
      <c r="I58" s="46" t="s">
        <v>296</v>
      </c>
      <c r="J58" s="48" t="s">
        <v>298</v>
      </c>
      <c r="K58" s="48" t="s">
        <v>298</v>
      </c>
      <c r="L58" s="48" t="s">
        <v>298</v>
      </c>
      <c r="M58" s="47" t="s">
        <v>297</v>
      </c>
      <c r="N58" s="46" t="s">
        <v>296</v>
      </c>
      <c r="O58" s="47" t="s">
        <v>297</v>
      </c>
      <c r="P58" s="48" t="s">
        <v>298</v>
      </c>
      <c r="Q58" s="44" t="s">
        <v>313</v>
      </c>
      <c r="R58" s="44" t="s">
        <v>319</v>
      </c>
    </row>
    <row r="59" spans="1:18" ht="36" customHeight="1" x14ac:dyDescent="0.3">
      <c r="A59" s="44" t="s">
        <v>452</v>
      </c>
      <c r="B59" s="44" t="s">
        <v>437</v>
      </c>
      <c r="C59" s="44" t="s">
        <v>453</v>
      </c>
      <c r="D59" s="44" t="s">
        <v>454</v>
      </c>
      <c r="E59" s="45" t="s">
        <v>295</v>
      </c>
      <c r="F59" s="48" t="s">
        <v>298</v>
      </c>
      <c r="G59" s="47" t="s">
        <v>297</v>
      </c>
      <c r="H59" s="47" t="s">
        <v>297</v>
      </c>
      <c r="I59" s="48" t="s">
        <v>298</v>
      </c>
      <c r="J59" s="48" t="s">
        <v>298</v>
      </c>
      <c r="K59" s="48" t="s">
        <v>298</v>
      </c>
      <c r="L59" s="46" t="s">
        <v>296</v>
      </c>
      <c r="M59" s="47" t="s">
        <v>297</v>
      </c>
      <c r="N59" s="46" t="s">
        <v>296</v>
      </c>
      <c r="O59" s="48" t="s">
        <v>298</v>
      </c>
      <c r="P59" s="48" t="s">
        <v>298</v>
      </c>
      <c r="Q59" s="44" t="s">
        <v>299</v>
      </c>
      <c r="R59" s="44" t="s">
        <v>300</v>
      </c>
    </row>
    <row r="60" spans="1:18" ht="36" customHeight="1" x14ac:dyDescent="0.3">
      <c r="A60" s="44" t="s">
        <v>455</v>
      </c>
      <c r="B60" s="44" t="s">
        <v>437</v>
      </c>
      <c r="C60" s="44" t="s">
        <v>456</v>
      </c>
      <c r="D60" s="44" t="s">
        <v>457</v>
      </c>
      <c r="E60" s="45" t="s">
        <v>295</v>
      </c>
      <c r="F60" s="48" t="s">
        <v>298</v>
      </c>
      <c r="G60" s="47" t="s">
        <v>297</v>
      </c>
      <c r="H60" s="47" t="s">
        <v>297</v>
      </c>
      <c r="I60" s="48" t="s">
        <v>298</v>
      </c>
      <c r="J60" s="47" t="s">
        <v>297</v>
      </c>
      <c r="K60" s="48" t="s">
        <v>298</v>
      </c>
      <c r="L60" s="48" t="s">
        <v>298</v>
      </c>
      <c r="M60" s="46" t="s">
        <v>296</v>
      </c>
      <c r="N60" s="48" t="s">
        <v>298</v>
      </c>
      <c r="O60" s="48" t="s">
        <v>298</v>
      </c>
      <c r="P60" s="48" t="s">
        <v>298</v>
      </c>
      <c r="Q60" s="44" t="s">
        <v>458</v>
      </c>
      <c r="R60" s="44" t="s">
        <v>434</v>
      </c>
    </row>
    <row r="61" spans="1:18" ht="36" customHeight="1" x14ac:dyDescent="0.3">
      <c r="A61" s="44" t="s">
        <v>459</v>
      </c>
      <c r="B61" s="44" t="s">
        <v>437</v>
      </c>
      <c r="C61" s="44" t="s">
        <v>460</v>
      </c>
      <c r="D61" s="44" t="s">
        <v>461</v>
      </c>
      <c r="E61" s="45" t="s">
        <v>295</v>
      </c>
      <c r="F61" s="48" t="s">
        <v>298</v>
      </c>
      <c r="G61" s="47" t="s">
        <v>297</v>
      </c>
      <c r="H61" s="46" t="s">
        <v>296</v>
      </c>
      <c r="I61" s="48" t="s">
        <v>298</v>
      </c>
      <c r="J61" s="47" t="s">
        <v>297</v>
      </c>
      <c r="K61" s="48" t="s">
        <v>298</v>
      </c>
      <c r="L61" s="48" t="s">
        <v>298</v>
      </c>
      <c r="M61" s="46" t="s">
        <v>296</v>
      </c>
      <c r="N61" s="48" t="s">
        <v>298</v>
      </c>
      <c r="O61" s="48" t="s">
        <v>298</v>
      </c>
      <c r="P61" s="48" t="s">
        <v>298</v>
      </c>
      <c r="Q61" s="44" t="s">
        <v>313</v>
      </c>
      <c r="R61" s="44" t="s">
        <v>319</v>
      </c>
    </row>
    <row r="62" spans="1:18" ht="21.75" customHeight="1" x14ac:dyDescent="0.3">
      <c r="A62" s="60" t="s">
        <v>462</v>
      </c>
      <c r="B62" s="60"/>
      <c r="C62" s="60"/>
      <c r="D62" s="60"/>
      <c r="E62" s="60"/>
      <c r="F62" s="60"/>
      <c r="G62" s="60"/>
      <c r="H62" s="60"/>
      <c r="I62" s="60"/>
      <c r="J62" s="60"/>
      <c r="K62" s="60"/>
      <c r="L62" s="60"/>
      <c r="M62" s="60"/>
      <c r="N62" s="60"/>
      <c r="O62" s="60"/>
      <c r="P62" s="60"/>
      <c r="Q62" s="60"/>
      <c r="R62" s="60"/>
    </row>
    <row r="63" spans="1:18" ht="36" customHeight="1" x14ac:dyDescent="0.3">
      <c r="A63" s="44" t="s">
        <v>463</v>
      </c>
      <c r="B63" s="44" t="s">
        <v>464</v>
      </c>
      <c r="C63" s="44" t="s">
        <v>465</v>
      </c>
      <c r="D63" s="44" t="s">
        <v>466</v>
      </c>
      <c r="E63" s="45" t="s">
        <v>295</v>
      </c>
      <c r="F63" s="47" t="s">
        <v>297</v>
      </c>
      <c r="G63" s="47" t="s">
        <v>297</v>
      </c>
      <c r="H63" s="47" t="s">
        <v>297</v>
      </c>
      <c r="I63" s="48" t="s">
        <v>298</v>
      </c>
      <c r="J63" s="48" t="s">
        <v>298</v>
      </c>
      <c r="K63" s="46" t="s">
        <v>296</v>
      </c>
      <c r="L63" s="48" t="s">
        <v>298</v>
      </c>
      <c r="M63" s="47" t="s">
        <v>297</v>
      </c>
      <c r="N63" s="46" t="s">
        <v>296</v>
      </c>
      <c r="O63" s="47" t="s">
        <v>297</v>
      </c>
      <c r="P63" s="48" t="s">
        <v>298</v>
      </c>
      <c r="Q63" s="44" t="s">
        <v>313</v>
      </c>
      <c r="R63" s="44" t="s">
        <v>319</v>
      </c>
    </row>
    <row r="64" spans="1:18" ht="36" customHeight="1" x14ac:dyDescent="0.3">
      <c r="A64" s="44" t="s">
        <v>467</v>
      </c>
      <c r="B64" s="44" t="s">
        <v>464</v>
      </c>
      <c r="C64" s="44" t="s">
        <v>468</v>
      </c>
      <c r="D64" s="44" t="s">
        <v>469</v>
      </c>
      <c r="E64" s="45" t="s">
        <v>295</v>
      </c>
      <c r="F64" s="47" t="s">
        <v>297</v>
      </c>
      <c r="G64" s="47" t="s">
        <v>297</v>
      </c>
      <c r="H64" s="47" t="s">
        <v>297</v>
      </c>
      <c r="I64" s="48" t="s">
        <v>298</v>
      </c>
      <c r="J64" s="48" t="s">
        <v>298</v>
      </c>
      <c r="K64" s="46" t="s">
        <v>296</v>
      </c>
      <c r="L64" s="48" t="s">
        <v>298</v>
      </c>
      <c r="M64" s="47" t="s">
        <v>297</v>
      </c>
      <c r="N64" s="46" t="s">
        <v>296</v>
      </c>
      <c r="O64" s="47" t="s">
        <v>297</v>
      </c>
      <c r="P64" s="48" t="s">
        <v>298</v>
      </c>
      <c r="Q64" s="44" t="s">
        <v>313</v>
      </c>
      <c r="R64" s="44" t="s">
        <v>319</v>
      </c>
    </row>
    <row r="65" spans="1:18" ht="21.75" customHeight="1" x14ac:dyDescent="0.3">
      <c r="A65" s="60" t="s">
        <v>470</v>
      </c>
      <c r="B65" s="60"/>
      <c r="C65" s="60"/>
      <c r="D65" s="60"/>
      <c r="E65" s="60"/>
      <c r="F65" s="60"/>
      <c r="G65" s="60"/>
      <c r="H65" s="60"/>
      <c r="I65" s="60"/>
      <c r="J65" s="60"/>
      <c r="K65" s="60"/>
      <c r="L65" s="60"/>
      <c r="M65" s="60"/>
      <c r="N65" s="60"/>
      <c r="O65" s="60"/>
      <c r="P65" s="60"/>
      <c r="Q65" s="60"/>
      <c r="R65" s="60"/>
    </row>
    <row r="66" spans="1:18" ht="36" customHeight="1" x14ac:dyDescent="0.3">
      <c r="A66" s="44" t="s">
        <v>471</v>
      </c>
      <c r="B66" s="44" t="s">
        <v>472</v>
      </c>
      <c r="C66" s="44" t="s">
        <v>473</v>
      </c>
      <c r="D66" s="44" t="s">
        <v>474</v>
      </c>
      <c r="E66" s="45" t="s">
        <v>295</v>
      </c>
      <c r="F66" s="46" t="s">
        <v>296</v>
      </c>
      <c r="G66" s="47" t="s">
        <v>297</v>
      </c>
      <c r="H66" s="46" t="s">
        <v>296</v>
      </c>
      <c r="I66" s="48" t="s">
        <v>298</v>
      </c>
      <c r="J66" s="48" t="s">
        <v>298</v>
      </c>
      <c r="K66" s="48" t="s">
        <v>298</v>
      </c>
      <c r="L66" s="46" t="s">
        <v>296</v>
      </c>
      <c r="M66" s="46" t="s">
        <v>296</v>
      </c>
      <c r="N66" s="48" t="s">
        <v>298</v>
      </c>
      <c r="O66" s="48" t="s">
        <v>298</v>
      </c>
      <c r="P66" s="48" t="s">
        <v>298</v>
      </c>
      <c r="Q66" s="44" t="s">
        <v>458</v>
      </c>
      <c r="R66" s="44" t="s">
        <v>434</v>
      </c>
    </row>
    <row r="67" spans="1:18" ht="36" customHeight="1" x14ac:dyDescent="0.3">
      <c r="A67" s="44" t="s">
        <v>475</v>
      </c>
      <c r="B67" s="44" t="s">
        <v>472</v>
      </c>
      <c r="C67" s="44" t="s">
        <v>476</v>
      </c>
      <c r="D67" s="44" t="s">
        <v>477</v>
      </c>
      <c r="E67" s="45" t="s">
        <v>295</v>
      </c>
      <c r="F67" s="47" t="s">
        <v>297</v>
      </c>
      <c r="G67" s="47" t="s">
        <v>297</v>
      </c>
      <c r="H67" s="47" t="s">
        <v>297</v>
      </c>
      <c r="I67" s="48" t="s">
        <v>298</v>
      </c>
      <c r="J67" s="48" t="s">
        <v>298</v>
      </c>
      <c r="K67" s="48" t="s">
        <v>298</v>
      </c>
      <c r="L67" s="46" t="s">
        <v>296</v>
      </c>
      <c r="M67" s="46" t="s">
        <v>296</v>
      </c>
      <c r="N67" s="46" t="s">
        <v>296</v>
      </c>
      <c r="O67" s="46" t="s">
        <v>296</v>
      </c>
      <c r="P67" s="48" t="s">
        <v>298</v>
      </c>
      <c r="Q67" s="44" t="s">
        <v>458</v>
      </c>
      <c r="R67" s="44" t="s">
        <v>434</v>
      </c>
    </row>
    <row r="68" spans="1:18" ht="36" customHeight="1" x14ac:dyDescent="0.3">
      <c r="A68" s="44" t="s">
        <v>478</v>
      </c>
      <c r="B68" s="44" t="s">
        <v>472</v>
      </c>
      <c r="C68" s="44" t="s">
        <v>479</v>
      </c>
      <c r="D68" s="44" t="s">
        <v>480</v>
      </c>
      <c r="E68" s="45" t="s">
        <v>295</v>
      </c>
      <c r="F68" s="46" t="s">
        <v>296</v>
      </c>
      <c r="G68" s="47" t="s">
        <v>297</v>
      </c>
      <c r="H68" s="46" t="s">
        <v>296</v>
      </c>
      <c r="I68" s="48" t="s">
        <v>298</v>
      </c>
      <c r="J68" s="48" t="s">
        <v>298</v>
      </c>
      <c r="K68" s="48" t="s">
        <v>298</v>
      </c>
      <c r="L68" s="46" t="s">
        <v>296</v>
      </c>
      <c r="M68" s="46" t="s">
        <v>296</v>
      </c>
      <c r="N68" s="48" t="s">
        <v>298</v>
      </c>
      <c r="O68" s="48" t="s">
        <v>298</v>
      </c>
      <c r="P68" s="48" t="s">
        <v>298</v>
      </c>
      <c r="Q68" s="44" t="s">
        <v>458</v>
      </c>
      <c r="R68" s="44" t="s">
        <v>434</v>
      </c>
    </row>
    <row r="69" spans="1:18" ht="21.75" customHeight="1" x14ac:dyDescent="0.3">
      <c r="A69" s="60" t="s">
        <v>481</v>
      </c>
      <c r="B69" s="60"/>
      <c r="C69" s="60"/>
      <c r="D69" s="60"/>
      <c r="E69" s="60"/>
      <c r="F69" s="60"/>
      <c r="G69" s="60"/>
      <c r="H69" s="60"/>
      <c r="I69" s="60"/>
      <c r="J69" s="60"/>
      <c r="K69" s="60"/>
      <c r="L69" s="60"/>
      <c r="M69" s="60"/>
      <c r="N69" s="60"/>
      <c r="O69" s="60"/>
      <c r="P69" s="60"/>
      <c r="Q69" s="60"/>
      <c r="R69" s="60"/>
    </row>
    <row r="70" spans="1:18" ht="36" customHeight="1" x14ac:dyDescent="0.3">
      <c r="A70" s="44" t="s">
        <v>482</v>
      </c>
      <c r="B70" s="44" t="s">
        <v>483</v>
      </c>
      <c r="C70" s="44" t="s">
        <v>484</v>
      </c>
      <c r="D70" s="44" t="s">
        <v>485</v>
      </c>
      <c r="E70" s="45" t="s">
        <v>295</v>
      </c>
      <c r="F70" s="47" t="s">
        <v>297</v>
      </c>
      <c r="G70" s="47" t="s">
        <v>297</v>
      </c>
      <c r="H70" s="47" t="s">
        <v>297</v>
      </c>
      <c r="I70" s="48" t="s">
        <v>298</v>
      </c>
      <c r="J70" s="48" t="s">
        <v>298</v>
      </c>
      <c r="K70" s="48" t="s">
        <v>298</v>
      </c>
      <c r="L70" s="48" t="s">
        <v>298</v>
      </c>
      <c r="M70" s="46" t="s">
        <v>296</v>
      </c>
      <c r="N70" s="48" t="s">
        <v>298</v>
      </c>
      <c r="O70" s="48" t="s">
        <v>298</v>
      </c>
      <c r="P70" s="45" t="s">
        <v>295</v>
      </c>
      <c r="Q70" s="44" t="s">
        <v>299</v>
      </c>
      <c r="R70" s="44" t="s">
        <v>300</v>
      </c>
    </row>
    <row r="71" spans="1:18" ht="21.75" customHeight="1" x14ac:dyDescent="0.3">
      <c r="A71" s="60" t="s">
        <v>486</v>
      </c>
      <c r="B71" s="60"/>
      <c r="C71" s="60"/>
      <c r="D71" s="60"/>
      <c r="E71" s="60"/>
      <c r="F71" s="60"/>
      <c r="G71" s="60"/>
      <c r="H71" s="60"/>
      <c r="I71" s="60"/>
      <c r="J71" s="60"/>
      <c r="K71" s="60"/>
      <c r="L71" s="60"/>
      <c r="M71" s="60"/>
      <c r="N71" s="60"/>
      <c r="O71" s="60"/>
      <c r="P71" s="60"/>
      <c r="Q71" s="60"/>
      <c r="R71" s="60"/>
    </row>
    <row r="72" spans="1:18" ht="36" customHeight="1" x14ac:dyDescent="0.3">
      <c r="A72" s="44" t="s">
        <v>487</v>
      </c>
      <c r="B72" s="44" t="s">
        <v>488</v>
      </c>
      <c r="C72" s="44" t="s">
        <v>489</v>
      </c>
      <c r="D72" s="44" t="s">
        <v>490</v>
      </c>
      <c r="E72" s="45" t="s">
        <v>295</v>
      </c>
      <c r="F72" s="48" t="s">
        <v>298</v>
      </c>
      <c r="G72" s="47" t="s">
        <v>297</v>
      </c>
      <c r="H72" s="47" t="s">
        <v>297</v>
      </c>
      <c r="I72" s="48" t="s">
        <v>298</v>
      </c>
      <c r="J72" s="47" t="s">
        <v>297</v>
      </c>
      <c r="K72" s="48" t="s">
        <v>298</v>
      </c>
      <c r="L72" s="48" t="s">
        <v>298</v>
      </c>
      <c r="M72" s="46" t="s">
        <v>296</v>
      </c>
      <c r="N72" s="48" t="s">
        <v>298</v>
      </c>
      <c r="O72" s="48" t="s">
        <v>298</v>
      </c>
      <c r="P72" s="48" t="s">
        <v>298</v>
      </c>
      <c r="Q72" s="44" t="s">
        <v>313</v>
      </c>
      <c r="R72" s="44" t="s">
        <v>300</v>
      </c>
    </row>
    <row r="73" spans="1:18" ht="36" customHeight="1" x14ac:dyDescent="0.3">
      <c r="A73" s="44" t="s">
        <v>491</v>
      </c>
      <c r="B73" s="44" t="s">
        <v>488</v>
      </c>
      <c r="C73" s="44" t="s">
        <v>492</v>
      </c>
      <c r="D73" s="44" t="s">
        <v>493</v>
      </c>
      <c r="E73" s="45" t="s">
        <v>295</v>
      </c>
      <c r="F73" s="48" t="s">
        <v>298</v>
      </c>
      <c r="G73" s="47" t="s">
        <v>297</v>
      </c>
      <c r="H73" s="46" t="s">
        <v>296</v>
      </c>
      <c r="I73" s="46" t="s">
        <v>296</v>
      </c>
      <c r="J73" s="48" t="s">
        <v>298</v>
      </c>
      <c r="K73" s="48" t="s">
        <v>298</v>
      </c>
      <c r="L73" s="48" t="s">
        <v>298</v>
      </c>
      <c r="M73" s="48" t="s">
        <v>298</v>
      </c>
      <c r="N73" s="48" t="s">
        <v>298</v>
      </c>
      <c r="O73" s="48" t="s">
        <v>298</v>
      </c>
      <c r="P73" s="48" t="s">
        <v>298</v>
      </c>
      <c r="Q73" s="44" t="s">
        <v>313</v>
      </c>
      <c r="R73" s="44" t="s">
        <v>300</v>
      </c>
    </row>
  </sheetData>
  <mergeCells count="18">
    <mergeCell ref="A69:R69"/>
    <mergeCell ref="A71:R71"/>
    <mergeCell ref="A40:R40"/>
    <mergeCell ref="A45:R45"/>
    <mergeCell ref="A53:R53"/>
    <mergeCell ref="A62:R62"/>
    <mergeCell ref="A65:R65"/>
    <mergeCell ref="A5:R5"/>
    <mergeCell ref="A11:R11"/>
    <mergeCell ref="A18:R18"/>
    <mergeCell ref="A25:R25"/>
    <mergeCell ref="A33:R33"/>
    <mergeCell ref="A1:R1"/>
    <mergeCell ref="A2:R2"/>
    <mergeCell ref="A3:D3"/>
    <mergeCell ref="E3:L3"/>
    <mergeCell ref="M3:O3"/>
    <mergeCell ref="P3:R3"/>
  </mergeCells>
  <dataValidations count="1">
    <dataValidation type="list" allowBlank="1" error="Enter R, A, C, or I" sqref="E5:P73" xr:uid="{00000000-0002-0000-0200-000000000000}">
      <formula1>"R,A,C,I"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E74C3C"/>
  </sheetPr>
  <dimension ref="A1:Y101"/>
  <sheetViews>
    <sheetView topLeftCell="F1" zoomScaleNormal="100" workbookViewId="0">
      <pane xSplit="5" ySplit="3" topLeftCell="K4" activePane="bottomRight" state="frozen"/>
      <selection activeCell="F1" sqref="F1"/>
      <selection pane="topRight" activeCell="K1" sqref="K1"/>
      <selection pane="bottomLeft" activeCell="F4" sqref="F4"/>
      <selection pane="bottomRight" activeCell="J7" sqref="J7"/>
    </sheetView>
  </sheetViews>
  <sheetFormatPr defaultColWidth="8.6640625" defaultRowHeight="14.4" x14ac:dyDescent="0.3"/>
  <cols>
    <col min="1" max="1" width="7" customWidth="1"/>
    <col min="2" max="2" width="13" customWidth="1"/>
    <col min="3" max="3" width="24.109375" customWidth="1"/>
    <col min="4" max="4" width="12" customWidth="1"/>
    <col min="5" max="5" width="24.109375" customWidth="1"/>
    <col min="6" max="6" width="13" customWidth="1"/>
    <col min="7" max="7" width="18" customWidth="1"/>
    <col min="8" max="8" width="16" customWidth="1"/>
    <col min="9" max="9" width="30" customWidth="1"/>
    <col min="10" max="10" width="40" customWidth="1"/>
    <col min="11" max="13" width="14" customWidth="1"/>
    <col min="14" max="14" width="30" customWidth="1"/>
    <col min="15" max="16" width="14" customWidth="1"/>
    <col min="17" max="17" width="18" customWidth="1"/>
    <col min="18" max="18" width="14" customWidth="1"/>
    <col min="19" max="19" width="30" customWidth="1"/>
    <col min="20" max="22" width="14" customWidth="1"/>
    <col min="23" max="23" width="24" customWidth="1"/>
    <col min="24" max="24" width="14" customWidth="1"/>
    <col min="25" max="25" width="20" customWidth="1"/>
  </cols>
  <sheetData>
    <row r="1" spans="1:25" ht="31.5" customHeight="1" x14ac:dyDescent="0.3">
      <c r="A1" s="55" t="s">
        <v>494</v>
      </c>
      <c r="B1" s="55"/>
      <c r="C1" s="55"/>
      <c r="D1" s="55"/>
      <c r="E1" s="55"/>
      <c r="F1" s="55"/>
      <c r="G1" s="55"/>
      <c r="H1" s="55"/>
      <c r="I1" s="55"/>
      <c r="J1" s="55"/>
      <c r="K1" s="55"/>
      <c r="L1" s="55"/>
      <c r="M1" s="55"/>
      <c r="N1" s="55"/>
      <c r="O1" s="55"/>
      <c r="P1" s="55"/>
      <c r="Q1" s="55"/>
      <c r="R1" s="55"/>
      <c r="S1" s="55"/>
      <c r="T1" s="55"/>
      <c r="U1" s="55"/>
      <c r="V1" s="55"/>
      <c r="W1" s="55"/>
      <c r="X1" s="55"/>
      <c r="Y1" s="55"/>
    </row>
    <row r="2" spans="1:25" ht="24" customHeight="1" x14ac:dyDescent="0.3">
      <c r="A2" s="51" t="s">
        <v>495</v>
      </c>
      <c r="B2" s="51"/>
      <c r="C2" s="51"/>
      <c r="D2" s="51"/>
      <c r="E2" s="51"/>
      <c r="F2" s="51"/>
      <c r="G2" s="51"/>
      <c r="H2" s="51"/>
      <c r="I2" s="51"/>
      <c r="J2" s="51"/>
      <c r="K2" s="51"/>
      <c r="L2" s="51"/>
      <c r="M2" s="51"/>
      <c r="N2" s="51"/>
      <c r="O2" s="51"/>
      <c r="P2" s="51"/>
      <c r="Q2" s="51"/>
      <c r="R2" s="51"/>
      <c r="S2" s="51"/>
      <c r="T2" s="51"/>
      <c r="U2" s="51"/>
      <c r="V2" s="51"/>
      <c r="W2" s="51"/>
      <c r="X2" s="51"/>
      <c r="Y2" s="51"/>
    </row>
    <row r="3" spans="1:25" ht="24" customHeight="1" x14ac:dyDescent="0.3">
      <c r="A3" s="56" t="s">
        <v>269</v>
      </c>
      <c r="B3" s="181"/>
      <c r="C3" s="181"/>
      <c r="D3" s="181"/>
      <c r="E3" s="181"/>
      <c r="F3" s="181"/>
      <c r="G3" s="56"/>
      <c r="H3" s="56"/>
      <c r="I3" s="56"/>
      <c r="J3" s="56"/>
      <c r="K3" s="57" t="s">
        <v>496</v>
      </c>
      <c r="L3" s="57"/>
      <c r="M3" s="57"/>
      <c r="N3" s="57"/>
      <c r="O3" s="57"/>
      <c r="P3" s="58" t="s">
        <v>497</v>
      </c>
      <c r="Q3" s="58"/>
      <c r="R3" s="58"/>
      <c r="S3" s="58"/>
      <c r="T3" s="58"/>
      <c r="U3" s="58"/>
      <c r="V3" s="59" t="s">
        <v>498</v>
      </c>
      <c r="W3" s="59"/>
      <c r="X3" s="59"/>
      <c r="Y3" s="59"/>
    </row>
    <row r="4" spans="1:25" ht="39.75" customHeight="1" x14ac:dyDescent="0.3">
      <c r="A4" s="169" t="s">
        <v>499</v>
      </c>
      <c r="B4" s="172" t="s">
        <v>273</v>
      </c>
      <c r="C4" s="172" t="s">
        <v>2073</v>
      </c>
      <c r="D4" s="172" t="s">
        <v>2074</v>
      </c>
      <c r="E4" s="172" t="s">
        <v>2080</v>
      </c>
      <c r="F4" s="172" t="s">
        <v>2081</v>
      </c>
      <c r="G4" s="169" t="s">
        <v>500</v>
      </c>
      <c r="H4" s="169" t="s">
        <v>501</v>
      </c>
      <c r="I4" s="169" t="s">
        <v>502</v>
      </c>
      <c r="J4" s="169" t="s">
        <v>503</v>
      </c>
      <c r="K4" s="42" t="s">
        <v>504</v>
      </c>
      <c r="L4" s="42" t="s">
        <v>505</v>
      </c>
      <c r="M4" s="42" t="s">
        <v>506</v>
      </c>
      <c r="N4" s="42" t="s">
        <v>507</v>
      </c>
      <c r="O4" s="42" t="s">
        <v>508</v>
      </c>
      <c r="P4" s="42" t="s">
        <v>509</v>
      </c>
      <c r="Q4" s="42" t="s">
        <v>510</v>
      </c>
      <c r="R4" s="42" t="s">
        <v>511</v>
      </c>
      <c r="S4" s="42" t="s">
        <v>512</v>
      </c>
      <c r="T4" s="42" t="s">
        <v>513</v>
      </c>
      <c r="U4" s="42" t="s">
        <v>514</v>
      </c>
      <c r="V4" s="42" t="s">
        <v>515</v>
      </c>
      <c r="W4" s="42" t="s">
        <v>516</v>
      </c>
      <c r="X4" s="42" t="s">
        <v>517</v>
      </c>
      <c r="Y4" s="42" t="s">
        <v>518</v>
      </c>
    </row>
    <row r="5" spans="1:25" ht="60" customHeight="1" x14ac:dyDescent="0.3">
      <c r="A5" s="170">
        <v>1</v>
      </c>
      <c r="B5" s="173" t="s">
        <v>291</v>
      </c>
      <c r="C5" s="174" t="s">
        <v>292</v>
      </c>
      <c r="D5" s="175" t="s">
        <v>2018</v>
      </c>
      <c r="E5" s="174" t="s">
        <v>2418</v>
      </c>
      <c r="F5" s="176" t="s">
        <v>2088</v>
      </c>
      <c r="G5" s="170" t="s">
        <v>519</v>
      </c>
      <c r="H5" s="170" t="s">
        <v>520</v>
      </c>
      <c r="I5" s="170" t="s">
        <v>293</v>
      </c>
      <c r="J5" s="170" t="s">
        <v>521</v>
      </c>
      <c r="K5" s="167" t="s">
        <v>2009</v>
      </c>
      <c r="L5" s="44">
        <v>2</v>
      </c>
      <c r="M5" s="44" t="s">
        <v>2598</v>
      </c>
      <c r="N5" s="44" t="s">
        <v>2599</v>
      </c>
      <c r="O5" s="44" t="s">
        <v>2019</v>
      </c>
      <c r="P5" s="44" t="s">
        <v>2014</v>
      </c>
      <c r="Q5" s="44" t="s">
        <v>2600</v>
      </c>
      <c r="R5" s="248">
        <v>46203</v>
      </c>
      <c r="S5" s="44" t="s">
        <v>2601</v>
      </c>
      <c r="T5" s="44">
        <v>1200000</v>
      </c>
      <c r="U5" s="44">
        <v>0.45</v>
      </c>
      <c r="V5" s="44" t="s">
        <v>2602</v>
      </c>
      <c r="W5" s="44" t="s">
        <v>2603</v>
      </c>
      <c r="X5" s="248">
        <v>46068</v>
      </c>
      <c r="Y5" s="44" t="s">
        <v>2604</v>
      </c>
    </row>
    <row r="6" spans="1:25" ht="60" customHeight="1" x14ac:dyDescent="0.3">
      <c r="A6" s="171">
        <v>2</v>
      </c>
      <c r="B6" s="177" t="s">
        <v>301</v>
      </c>
      <c r="C6" s="178" t="s">
        <v>292</v>
      </c>
      <c r="D6" s="179" t="s">
        <v>2019</v>
      </c>
      <c r="E6" s="178" t="s">
        <v>2418</v>
      </c>
      <c r="F6" s="180" t="s">
        <v>2088</v>
      </c>
      <c r="G6" s="171" t="s">
        <v>519</v>
      </c>
      <c r="H6" s="171" t="s">
        <v>520</v>
      </c>
      <c r="I6" s="171" t="s">
        <v>522</v>
      </c>
      <c r="J6" s="171" t="s">
        <v>523</v>
      </c>
      <c r="K6" s="168"/>
      <c r="L6" s="43"/>
      <c r="M6" s="43"/>
      <c r="N6" s="43"/>
      <c r="O6" s="43"/>
      <c r="P6" s="43"/>
      <c r="Q6" s="43"/>
      <c r="R6" s="43"/>
      <c r="S6" s="43"/>
      <c r="T6" s="43"/>
      <c r="U6" s="43"/>
      <c r="V6" s="43"/>
      <c r="W6" s="43"/>
      <c r="X6" s="43"/>
      <c r="Y6" s="43"/>
    </row>
    <row r="7" spans="1:25" ht="60" customHeight="1" x14ac:dyDescent="0.3">
      <c r="A7" s="170">
        <v>3</v>
      </c>
      <c r="B7" s="173" t="s">
        <v>304</v>
      </c>
      <c r="C7" s="174" t="s">
        <v>292</v>
      </c>
      <c r="D7" s="175" t="s">
        <v>2018</v>
      </c>
      <c r="E7" s="174" t="s">
        <v>2418</v>
      </c>
      <c r="F7" s="176" t="s">
        <v>2088</v>
      </c>
      <c r="G7" s="170" t="s">
        <v>519</v>
      </c>
      <c r="H7" s="170" t="s">
        <v>520</v>
      </c>
      <c r="I7" s="170" t="s">
        <v>524</v>
      </c>
      <c r="J7" s="170" t="s">
        <v>525</v>
      </c>
      <c r="K7" s="167" t="s">
        <v>2010</v>
      </c>
      <c r="L7" s="44">
        <v>1</v>
      </c>
      <c r="M7" s="44" t="s">
        <v>2598</v>
      </c>
      <c r="N7" s="44" t="s">
        <v>2605</v>
      </c>
      <c r="O7" s="44" t="s">
        <v>2018</v>
      </c>
      <c r="P7" s="44" t="s">
        <v>2013</v>
      </c>
      <c r="Q7" s="44" t="s">
        <v>2606</v>
      </c>
      <c r="R7" s="248">
        <v>46265</v>
      </c>
      <c r="S7" s="44" t="s">
        <v>2607</v>
      </c>
      <c r="T7" s="44">
        <v>3500000</v>
      </c>
      <c r="U7" s="44">
        <v>0.1</v>
      </c>
      <c r="V7" s="44" t="s">
        <v>2608</v>
      </c>
      <c r="W7" s="44"/>
      <c r="X7" s="248">
        <v>46068</v>
      </c>
      <c r="Y7" s="44" t="s">
        <v>2609</v>
      </c>
    </row>
    <row r="8" spans="1:25" ht="60" customHeight="1" x14ac:dyDescent="0.3">
      <c r="A8" s="171">
        <v>4</v>
      </c>
      <c r="B8" s="177" t="s">
        <v>307</v>
      </c>
      <c r="C8" s="178" t="s">
        <v>292</v>
      </c>
      <c r="D8" s="179" t="s">
        <v>2019</v>
      </c>
      <c r="E8" s="178" t="s">
        <v>2418</v>
      </c>
      <c r="F8" s="180" t="s">
        <v>2088</v>
      </c>
      <c r="G8" s="171" t="s">
        <v>519</v>
      </c>
      <c r="H8" s="171" t="s">
        <v>520</v>
      </c>
      <c r="I8" s="171" t="s">
        <v>526</v>
      </c>
      <c r="J8" s="171" t="s">
        <v>527</v>
      </c>
      <c r="K8" s="168"/>
      <c r="L8" s="43"/>
      <c r="M8" s="43"/>
      <c r="N8" s="43"/>
      <c r="O8" s="43"/>
      <c r="P8" s="43"/>
      <c r="Q8" s="43"/>
      <c r="R8" s="43"/>
      <c r="S8" s="43"/>
      <c r="T8" s="43"/>
      <c r="U8" s="43"/>
      <c r="V8" s="43"/>
      <c r="W8" s="43"/>
      <c r="X8" s="43"/>
      <c r="Y8" s="43"/>
    </row>
    <row r="9" spans="1:25" ht="60" customHeight="1" x14ac:dyDescent="0.3">
      <c r="A9" s="170">
        <v>5</v>
      </c>
      <c r="B9" s="173" t="s">
        <v>310</v>
      </c>
      <c r="C9" s="174" t="s">
        <v>292</v>
      </c>
      <c r="D9" s="175" t="s">
        <v>2019</v>
      </c>
      <c r="E9" s="174" t="s">
        <v>2418</v>
      </c>
      <c r="F9" s="176" t="s">
        <v>2088</v>
      </c>
      <c r="G9" s="170" t="s">
        <v>519</v>
      </c>
      <c r="H9" s="170" t="s">
        <v>520</v>
      </c>
      <c r="I9" s="170" t="s">
        <v>311</v>
      </c>
      <c r="J9" s="170" t="s">
        <v>528</v>
      </c>
      <c r="K9" s="167"/>
      <c r="L9" s="44"/>
      <c r="M9" s="44"/>
      <c r="N9" s="44"/>
      <c r="O9" s="44"/>
      <c r="P9" s="44"/>
      <c r="Q9" s="44"/>
      <c r="R9" s="44"/>
      <c r="S9" s="44"/>
      <c r="T9" s="44"/>
      <c r="U9" s="44"/>
      <c r="V9" s="44"/>
      <c r="W9" s="44"/>
      <c r="X9" s="44"/>
      <c r="Y9" s="44"/>
    </row>
    <row r="10" spans="1:25" ht="60" customHeight="1" x14ac:dyDescent="0.3">
      <c r="A10" s="171">
        <v>6</v>
      </c>
      <c r="B10" s="177" t="s">
        <v>315</v>
      </c>
      <c r="C10" s="178" t="s">
        <v>316</v>
      </c>
      <c r="D10" s="179" t="s">
        <v>2020</v>
      </c>
      <c r="E10" s="178" t="s">
        <v>2424</v>
      </c>
      <c r="F10" s="180" t="s">
        <v>2088</v>
      </c>
      <c r="G10" s="171" t="s">
        <v>529</v>
      </c>
      <c r="H10" s="171" t="s">
        <v>530</v>
      </c>
      <c r="I10" s="171" t="s">
        <v>531</v>
      </c>
      <c r="J10" s="171" t="s">
        <v>532</v>
      </c>
      <c r="K10" s="168"/>
      <c r="L10" s="43"/>
      <c r="M10" s="43"/>
      <c r="N10" s="43"/>
      <c r="O10" s="43"/>
      <c r="P10" s="43"/>
      <c r="Q10" s="43"/>
      <c r="R10" s="43"/>
      <c r="S10" s="43"/>
      <c r="T10" s="43"/>
      <c r="U10" s="43"/>
      <c r="V10" s="43"/>
      <c r="W10" s="43"/>
      <c r="X10" s="43"/>
      <c r="Y10" s="43"/>
    </row>
    <row r="11" spans="1:25" ht="60" customHeight="1" x14ac:dyDescent="0.3">
      <c r="A11" s="170">
        <v>7</v>
      </c>
      <c r="B11" s="173" t="s">
        <v>320</v>
      </c>
      <c r="C11" s="174" t="s">
        <v>316</v>
      </c>
      <c r="D11" s="175" t="s">
        <v>2020</v>
      </c>
      <c r="E11" s="174" t="s">
        <v>2424</v>
      </c>
      <c r="F11" s="176" t="s">
        <v>2088</v>
      </c>
      <c r="G11" s="170" t="s">
        <v>529</v>
      </c>
      <c r="H11" s="170" t="s">
        <v>530</v>
      </c>
      <c r="I11" s="170" t="s">
        <v>533</v>
      </c>
      <c r="J11" s="170" t="s">
        <v>534</v>
      </c>
      <c r="K11" s="167"/>
      <c r="L11" s="44"/>
      <c r="M11" s="44"/>
      <c r="N11" s="44"/>
      <c r="O11" s="44"/>
      <c r="P11" s="44"/>
      <c r="Q11" s="44"/>
      <c r="R11" s="44"/>
      <c r="S11" s="44"/>
      <c r="T11" s="44"/>
      <c r="U11" s="44"/>
      <c r="V11" s="44"/>
      <c r="W11" s="44"/>
      <c r="X11" s="44"/>
      <c r="Y11" s="44"/>
    </row>
    <row r="12" spans="1:25" ht="60" customHeight="1" x14ac:dyDescent="0.3">
      <c r="A12" s="171">
        <v>8</v>
      </c>
      <c r="B12" s="177" t="s">
        <v>323</v>
      </c>
      <c r="C12" s="178" t="s">
        <v>316</v>
      </c>
      <c r="D12" s="179" t="s">
        <v>2019</v>
      </c>
      <c r="E12" s="178" t="s">
        <v>2424</v>
      </c>
      <c r="F12" s="180" t="s">
        <v>2088</v>
      </c>
      <c r="G12" s="171" t="s">
        <v>529</v>
      </c>
      <c r="H12" s="171" t="s">
        <v>530</v>
      </c>
      <c r="I12" s="171" t="s">
        <v>535</v>
      </c>
      <c r="J12" s="171" t="s">
        <v>536</v>
      </c>
      <c r="K12" s="168"/>
      <c r="L12" s="43"/>
      <c r="M12" s="43"/>
      <c r="N12" s="43"/>
      <c r="O12" s="43"/>
      <c r="P12" s="43"/>
      <c r="Q12" s="43"/>
      <c r="R12" s="43"/>
      <c r="S12" s="43"/>
      <c r="T12" s="43"/>
      <c r="U12" s="43"/>
      <c r="V12" s="43"/>
      <c r="W12" s="43"/>
      <c r="X12" s="43"/>
      <c r="Y12" s="43"/>
    </row>
    <row r="13" spans="1:25" ht="60" customHeight="1" x14ac:dyDescent="0.3">
      <c r="A13" s="170">
        <v>9</v>
      </c>
      <c r="B13" s="173" t="s">
        <v>326</v>
      </c>
      <c r="C13" s="174" t="s">
        <v>316</v>
      </c>
      <c r="D13" s="175" t="s">
        <v>2020</v>
      </c>
      <c r="E13" s="174" t="s">
        <v>2424</v>
      </c>
      <c r="F13" s="176" t="s">
        <v>2088</v>
      </c>
      <c r="G13" s="170" t="s">
        <v>529</v>
      </c>
      <c r="H13" s="170" t="s">
        <v>530</v>
      </c>
      <c r="I13" s="170" t="s">
        <v>537</v>
      </c>
      <c r="J13" s="170" t="s">
        <v>538</v>
      </c>
      <c r="K13" s="167"/>
      <c r="L13" s="44"/>
      <c r="M13" s="44"/>
      <c r="N13" s="44"/>
      <c r="O13" s="44"/>
      <c r="P13" s="44"/>
      <c r="Q13" s="44"/>
      <c r="R13" s="44"/>
      <c r="S13" s="44"/>
      <c r="T13" s="44"/>
      <c r="U13" s="44"/>
      <c r="V13" s="44"/>
      <c r="W13" s="44"/>
      <c r="X13" s="44"/>
      <c r="Y13" s="44"/>
    </row>
    <row r="14" spans="1:25" ht="60" customHeight="1" x14ac:dyDescent="0.3">
      <c r="A14" s="171">
        <v>10</v>
      </c>
      <c r="B14" s="177" t="s">
        <v>329</v>
      </c>
      <c r="C14" s="178" t="s">
        <v>316</v>
      </c>
      <c r="D14" s="179" t="s">
        <v>2021</v>
      </c>
      <c r="E14" s="178" t="s">
        <v>2424</v>
      </c>
      <c r="F14" s="180" t="s">
        <v>2088</v>
      </c>
      <c r="G14" s="171" t="s">
        <v>529</v>
      </c>
      <c r="H14" s="171" t="s">
        <v>530</v>
      </c>
      <c r="I14" s="171" t="s">
        <v>539</v>
      </c>
      <c r="J14" s="171" t="s">
        <v>540</v>
      </c>
      <c r="K14" s="168"/>
      <c r="L14" s="43"/>
      <c r="M14" s="43"/>
      <c r="N14" s="43"/>
      <c r="O14" s="43"/>
      <c r="P14" s="43"/>
      <c r="Q14" s="43"/>
      <c r="R14" s="43"/>
      <c r="S14" s="43"/>
      <c r="T14" s="43"/>
      <c r="U14" s="43"/>
      <c r="V14" s="43"/>
      <c r="W14" s="43"/>
      <c r="X14" s="43"/>
      <c r="Y14" s="43"/>
    </row>
    <row r="15" spans="1:25" ht="60" customHeight="1" x14ac:dyDescent="0.3">
      <c r="A15" s="170">
        <v>11</v>
      </c>
      <c r="B15" s="173" t="s">
        <v>332</v>
      </c>
      <c r="C15" s="174" t="s">
        <v>316</v>
      </c>
      <c r="D15" s="175" t="s">
        <v>2021</v>
      </c>
      <c r="E15" s="174" t="s">
        <v>2424</v>
      </c>
      <c r="F15" s="176" t="s">
        <v>2088</v>
      </c>
      <c r="G15" s="170" t="s">
        <v>529</v>
      </c>
      <c r="H15" s="170" t="s">
        <v>530</v>
      </c>
      <c r="I15" s="170" t="s">
        <v>333</v>
      </c>
      <c r="J15" s="170" t="s">
        <v>541</v>
      </c>
      <c r="K15" s="167"/>
      <c r="L15" s="44"/>
      <c r="M15" s="44"/>
      <c r="N15" s="44"/>
      <c r="O15" s="44"/>
      <c r="P15" s="44"/>
      <c r="Q15" s="44"/>
      <c r="R15" s="44"/>
      <c r="S15" s="44"/>
      <c r="T15" s="44"/>
      <c r="U15" s="44"/>
      <c r="V15" s="44"/>
      <c r="W15" s="44"/>
      <c r="X15" s="44"/>
      <c r="Y15" s="44"/>
    </row>
    <row r="16" spans="1:25" ht="60" customHeight="1" x14ac:dyDescent="0.3">
      <c r="A16" s="171">
        <v>12</v>
      </c>
      <c r="B16" s="177" t="s">
        <v>336</v>
      </c>
      <c r="C16" s="178" t="s">
        <v>337</v>
      </c>
      <c r="D16" s="179" t="s">
        <v>2018</v>
      </c>
      <c r="E16" s="178" t="s">
        <v>2260</v>
      </c>
      <c r="F16" s="180" t="s">
        <v>2093</v>
      </c>
      <c r="G16" s="171" t="s">
        <v>542</v>
      </c>
      <c r="H16" s="171" t="s">
        <v>520</v>
      </c>
      <c r="I16" s="171" t="s">
        <v>543</v>
      </c>
      <c r="J16" s="171" t="s">
        <v>544</v>
      </c>
      <c r="K16" s="168" t="s">
        <v>2009</v>
      </c>
      <c r="L16" s="43">
        <v>2</v>
      </c>
      <c r="M16" s="43" t="s">
        <v>2598</v>
      </c>
      <c r="N16" s="43" t="s">
        <v>2610</v>
      </c>
      <c r="O16" s="43" t="s">
        <v>2018</v>
      </c>
      <c r="P16" s="43" t="s">
        <v>2014</v>
      </c>
      <c r="Q16" s="43" t="s">
        <v>2611</v>
      </c>
      <c r="R16" s="249">
        <v>46234</v>
      </c>
      <c r="S16" s="43" t="s">
        <v>2612</v>
      </c>
      <c r="T16" s="43">
        <v>8500000</v>
      </c>
      <c r="U16" s="43">
        <v>0.55000000000000004</v>
      </c>
      <c r="V16" s="43" t="s">
        <v>2602</v>
      </c>
      <c r="W16" s="43" t="s">
        <v>2613</v>
      </c>
      <c r="X16" s="249">
        <v>46073</v>
      </c>
      <c r="Y16" s="43" t="s">
        <v>2614</v>
      </c>
    </row>
    <row r="17" spans="1:25" ht="60" customHeight="1" x14ac:dyDescent="0.3">
      <c r="A17" s="170">
        <v>13</v>
      </c>
      <c r="B17" s="173" t="s">
        <v>340</v>
      </c>
      <c r="C17" s="174" t="s">
        <v>337</v>
      </c>
      <c r="D17" s="175" t="s">
        <v>2019</v>
      </c>
      <c r="E17" s="174" t="s">
        <v>2432</v>
      </c>
      <c r="F17" s="176" t="s">
        <v>2093</v>
      </c>
      <c r="G17" s="170" t="s">
        <v>545</v>
      </c>
      <c r="H17" s="170" t="s">
        <v>520</v>
      </c>
      <c r="I17" s="170" t="s">
        <v>546</v>
      </c>
      <c r="J17" s="170" t="s">
        <v>547</v>
      </c>
      <c r="K17" s="167"/>
      <c r="L17" s="44"/>
      <c r="M17" s="44"/>
      <c r="N17" s="44"/>
      <c r="O17" s="44"/>
      <c r="P17" s="44"/>
      <c r="Q17" s="44"/>
      <c r="R17" s="44"/>
      <c r="S17" s="44"/>
      <c r="T17" s="44"/>
      <c r="U17" s="44"/>
      <c r="V17" s="44"/>
      <c r="W17" s="44"/>
      <c r="X17" s="44"/>
      <c r="Y17" s="44"/>
    </row>
    <row r="18" spans="1:25" ht="60" customHeight="1" x14ac:dyDescent="0.3">
      <c r="A18" s="171">
        <v>14</v>
      </c>
      <c r="B18" s="177" t="s">
        <v>343</v>
      </c>
      <c r="C18" s="178" t="s">
        <v>337</v>
      </c>
      <c r="D18" s="179" t="s">
        <v>2019</v>
      </c>
      <c r="E18" s="178" t="s">
        <v>548</v>
      </c>
      <c r="F18" s="180" t="s">
        <v>2093</v>
      </c>
      <c r="G18" s="171" t="s">
        <v>548</v>
      </c>
      <c r="H18" s="171" t="s">
        <v>520</v>
      </c>
      <c r="I18" s="171" t="s">
        <v>549</v>
      </c>
      <c r="J18" s="171" t="s">
        <v>550</v>
      </c>
      <c r="K18" s="168"/>
      <c r="L18" s="43"/>
      <c r="M18" s="43"/>
      <c r="N18" s="43"/>
      <c r="O18" s="43"/>
      <c r="P18" s="43"/>
      <c r="Q18" s="43"/>
      <c r="R18" s="43"/>
      <c r="S18" s="43"/>
      <c r="T18" s="43"/>
      <c r="U18" s="43"/>
      <c r="V18" s="43"/>
      <c r="W18" s="43"/>
      <c r="X18" s="43"/>
      <c r="Y18" s="43"/>
    </row>
    <row r="19" spans="1:25" ht="60" customHeight="1" x14ac:dyDescent="0.3">
      <c r="A19" s="170">
        <v>15</v>
      </c>
      <c r="B19" s="173" t="s">
        <v>346</v>
      </c>
      <c r="C19" s="174" t="s">
        <v>337</v>
      </c>
      <c r="D19" s="175" t="s">
        <v>2019</v>
      </c>
      <c r="E19" s="174" t="s">
        <v>551</v>
      </c>
      <c r="F19" s="176" t="s">
        <v>2093</v>
      </c>
      <c r="G19" s="170" t="s">
        <v>551</v>
      </c>
      <c r="H19" s="170" t="s">
        <v>520</v>
      </c>
      <c r="I19" s="170" t="s">
        <v>552</v>
      </c>
      <c r="J19" s="170" t="s">
        <v>553</v>
      </c>
      <c r="K19" s="167"/>
      <c r="L19" s="44"/>
      <c r="M19" s="44"/>
      <c r="N19" s="44"/>
      <c r="O19" s="44"/>
      <c r="P19" s="44"/>
      <c r="Q19" s="44"/>
      <c r="R19" s="44"/>
      <c r="S19" s="44"/>
      <c r="T19" s="44"/>
      <c r="U19" s="44"/>
      <c r="V19" s="44"/>
      <c r="W19" s="44"/>
      <c r="X19" s="44"/>
      <c r="Y19" s="44"/>
    </row>
    <row r="20" spans="1:25" ht="60" customHeight="1" x14ac:dyDescent="0.3">
      <c r="A20" s="171">
        <v>16</v>
      </c>
      <c r="B20" s="177" t="s">
        <v>349</v>
      </c>
      <c r="C20" s="178" t="s">
        <v>337</v>
      </c>
      <c r="D20" s="179" t="s">
        <v>2019</v>
      </c>
      <c r="E20" s="178" t="s">
        <v>554</v>
      </c>
      <c r="F20" s="180" t="s">
        <v>2093</v>
      </c>
      <c r="G20" s="171" t="s">
        <v>554</v>
      </c>
      <c r="H20" s="171" t="s">
        <v>520</v>
      </c>
      <c r="I20" s="171" t="s">
        <v>555</v>
      </c>
      <c r="J20" s="171" t="s">
        <v>556</v>
      </c>
      <c r="K20" s="168"/>
      <c r="L20" s="43"/>
      <c r="M20" s="43"/>
      <c r="N20" s="43"/>
      <c r="O20" s="43"/>
      <c r="P20" s="43"/>
      <c r="Q20" s="43"/>
      <c r="R20" s="43"/>
      <c r="S20" s="43"/>
      <c r="T20" s="43"/>
      <c r="U20" s="43"/>
      <c r="V20" s="43"/>
      <c r="W20" s="43"/>
      <c r="X20" s="43"/>
      <c r="Y20" s="43"/>
    </row>
    <row r="21" spans="1:25" ht="60" customHeight="1" x14ac:dyDescent="0.3">
      <c r="A21" s="170">
        <v>17</v>
      </c>
      <c r="B21" s="173" t="s">
        <v>352</v>
      </c>
      <c r="C21" s="174" t="s">
        <v>337</v>
      </c>
      <c r="D21" s="175" t="s">
        <v>2020</v>
      </c>
      <c r="E21" s="174" t="s">
        <v>557</v>
      </c>
      <c r="F21" s="176" t="s">
        <v>2093</v>
      </c>
      <c r="G21" s="170" t="s">
        <v>557</v>
      </c>
      <c r="H21" s="170" t="s">
        <v>520</v>
      </c>
      <c r="I21" s="170" t="s">
        <v>558</v>
      </c>
      <c r="J21" s="170" t="s">
        <v>559</v>
      </c>
      <c r="K21" s="167"/>
      <c r="L21" s="44"/>
      <c r="M21" s="44"/>
      <c r="N21" s="44"/>
      <c r="O21" s="44"/>
      <c r="P21" s="44"/>
      <c r="Q21" s="44"/>
      <c r="R21" s="44"/>
      <c r="S21" s="44"/>
      <c r="T21" s="44"/>
      <c r="U21" s="44"/>
      <c r="V21" s="44"/>
      <c r="W21" s="44"/>
      <c r="X21" s="44"/>
      <c r="Y21" s="44"/>
    </row>
    <row r="22" spans="1:25" ht="60" customHeight="1" x14ac:dyDescent="0.3">
      <c r="A22" s="171">
        <v>18</v>
      </c>
      <c r="B22" s="177" t="s">
        <v>356</v>
      </c>
      <c r="C22" s="178" t="s">
        <v>357</v>
      </c>
      <c r="D22" s="179" t="s">
        <v>2018</v>
      </c>
      <c r="E22" s="178" t="s">
        <v>2438</v>
      </c>
      <c r="F22" s="180" t="s">
        <v>2111</v>
      </c>
      <c r="G22" s="171" t="s">
        <v>560</v>
      </c>
      <c r="H22" s="171" t="s">
        <v>520</v>
      </c>
      <c r="I22" s="171" t="s">
        <v>561</v>
      </c>
      <c r="J22" s="171" t="s">
        <v>562</v>
      </c>
      <c r="K22" s="168" t="s">
        <v>2010</v>
      </c>
      <c r="L22" s="43">
        <v>0</v>
      </c>
      <c r="M22" s="43" t="s">
        <v>2598</v>
      </c>
      <c r="N22" s="43" t="s">
        <v>2615</v>
      </c>
      <c r="O22" s="43" t="s">
        <v>2018</v>
      </c>
      <c r="P22" s="43" t="s">
        <v>2013</v>
      </c>
      <c r="Q22" s="43" t="s">
        <v>2611</v>
      </c>
      <c r="R22" s="249">
        <v>46295</v>
      </c>
      <c r="S22" s="43" t="s">
        <v>2616</v>
      </c>
      <c r="T22" s="43">
        <v>2000000</v>
      </c>
      <c r="U22" s="43">
        <v>0.05</v>
      </c>
      <c r="V22" s="43" t="s">
        <v>2608</v>
      </c>
      <c r="W22" s="43"/>
      <c r="X22" s="249">
        <v>46068</v>
      </c>
      <c r="Y22" s="43" t="s">
        <v>2617</v>
      </c>
    </row>
    <row r="23" spans="1:25" ht="60" customHeight="1" x14ac:dyDescent="0.3">
      <c r="A23" s="170">
        <v>19</v>
      </c>
      <c r="B23" s="173" t="s">
        <v>360</v>
      </c>
      <c r="C23" s="174" t="s">
        <v>357</v>
      </c>
      <c r="D23" s="175" t="s">
        <v>2019</v>
      </c>
      <c r="E23" s="174" t="s">
        <v>2440</v>
      </c>
      <c r="F23" s="176" t="s">
        <v>2111</v>
      </c>
      <c r="G23" s="170" t="s">
        <v>563</v>
      </c>
      <c r="H23" s="170" t="s">
        <v>520</v>
      </c>
      <c r="I23" s="170" t="s">
        <v>564</v>
      </c>
      <c r="J23" s="170" t="s">
        <v>565</v>
      </c>
      <c r="K23" s="167"/>
      <c r="L23" s="44"/>
      <c r="M23" s="44"/>
      <c r="N23" s="44"/>
      <c r="O23" s="44"/>
      <c r="P23" s="44"/>
      <c r="Q23" s="44"/>
      <c r="R23" s="44"/>
      <c r="S23" s="44"/>
      <c r="T23" s="44"/>
      <c r="U23" s="44"/>
      <c r="V23" s="44"/>
      <c r="W23" s="44"/>
      <c r="X23" s="44"/>
      <c r="Y23" s="44"/>
    </row>
    <row r="24" spans="1:25" ht="60" customHeight="1" x14ac:dyDescent="0.3">
      <c r="A24" s="171">
        <v>20</v>
      </c>
      <c r="B24" s="177" t="s">
        <v>363</v>
      </c>
      <c r="C24" s="178" t="s">
        <v>357</v>
      </c>
      <c r="D24" s="179" t="s">
        <v>2019</v>
      </c>
      <c r="E24" s="178" t="s">
        <v>2442</v>
      </c>
      <c r="F24" s="180" t="s">
        <v>2111</v>
      </c>
      <c r="G24" s="171" t="s">
        <v>566</v>
      </c>
      <c r="H24" s="171" t="s">
        <v>520</v>
      </c>
      <c r="I24" s="171" t="s">
        <v>567</v>
      </c>
      <c r="J24" s="171" t="s">
        <v>568</v>
      </c>
      <c r="K24" s="168"/>
      <c r="L24" s="43"/>
      <c r="M24" s="43"/>
      <c r="N24" s="43"/>
      <c r="O24" s="43"/>
      <c r="P24" s="43"/>
      <c r="Q24" s="43"/>
      <c r="R24" s="43"/>
      <c r="S24" s="43"/>
      <c r="T24" s="43"/>
      <c r="U24" s="43"/>
      <c r="V24" s="43"/>
      <c r="W24" s="43"/>
      <c r="X24" s="43"/>
      <c r="Y24" s="43"/>
    </row>
    <row r="25" spans="1:25" ht="60" customHeight="1" x14ac:dyDescent="0.3">
      <c r="A25" s="170">
        <v>21</v>
      </c>
      <c r="B25" s="173" t="s">
        <v>366</v>
      </c>
      <c r="C25" s="174" t="s">
        <v>357</v>
      </c>
      <c r="D25" s="175" t="s">
        <v>2019</v>
      </c>
      <c r="E25" s="174" t="s">
        <v>2444</v>
      </c>
      <c r="F25" s="176" t="s">
        <v>2111</v>
      </c>
      <c r="G25" s="170" t="s">
        <v>569</v>
      </c>
      <c r="H25" s="170" t="s">
        <v>520</v>
      </c>
      <c r="I25" s="170" t="s">
        <v>570</v>
      </c>
      <c r="J25" s="170" t="s">
        <v>571</v>
      </c>
      <c r="K25" s="167"/>
      <c r="L25" s="44"/>
      <c r="M25" s="44"/>
      <c r="N25" s="44"/>
      <c r="O25" s="44"/>
      <c r="P25" s="44"/>
      <c r="Q25" s="44"/>
      <c r="R25" s="44"/>
      <c r="S25" s="44"/>
      <c r="T25" s="44"/>
      <c r="U25" s="44"/>
      <c r="V25" s="44"/>
      <c r="W25" s="44"/>
      <c r="X25" s="44"/>
      <c r="Y25" s="44"/>
    </row>
    <row r="26" spans="1:25" ht="60" customHeight="1" x14ac:dyDescent="0.3">
      <c r="A26" s="171">
        <v>22</v>
      </c>
      <c r="B26" s="177" t="s">
        <v>369</v>
      </c>
      <c r="C26" s="178" t="s">
        <v>357</v>
      </c>
      <c r="D26" s="179" t="s">
        <v>2019</v>
      </c>
      <c r="E26" s="178" t="s">
        <v>2446</v>
      </c>
      <c r="F26" s="180" t="s">
        <v>2111</v>
      </c>
      <c r="G26" s="171" t="s">
        <v>572</v>
      </c>
      <c r="H26" s="171" t="s">
        <v>520</v>
      </c>
      <c r="I26" s="171" t="s">
        <v>573</v>
      </c>
      <c r="J26" s="171" t="s">
        <v>574</v>
      </c>
      <c r="K26" s="168"/>
      <c r="L26" s="43"/>
      <c r="M26" s="43"/>
      <c r="N26" s="43"/>
      <c r="O26" s="43"/>
      <c r="P26" s="43"/>
      <c r="Q26" s="43"/>
      <c r="R26" s="43"/>
      <c r="S26" s="43"/>
      <c r="T26" s="43"/>
      <c r="U26" s="43"/>
      <c r="V26" s="43"/>
      <c r="W26" s="43"/>
      <c r="X26" s="43"/>
      <c r="Y26" s="43"/>
    </row>
    <row r="27" spans="1:25" ht="60" customHeight="1" x14ac:dyDescent="0.3">
      <c r="A27" s="170">
        <v>23</v>
      </c>
      <c r="B27" s="173" t="s">
        <v>372</v>
      </c>
      <c r="C27" s="174" t="s">
        <v>357</v>
      </c>
      <c r="D27" s="175" t="s">
        <v>2019</v>
      </c>
      <c r="E27" s="174" t="s">
        <v>2214</v>
      </c>
      <c r="F27" s="176" t="s">
        <v>2111</v>
      </c>
      <c r="G27" s="170" t="s">
        <v>575</v>
      </c>
      <c r="H27" s="170" t="s">
        <v>520</v>
      </c>
      <c r="I27" s="170" t="s">
        <v>373</v>
      </c>
      <c r="J27" s="170" t="s">
        <v>576</v>
      </c>
      <c r="K27" s="167"/>
      <c r="L27" s="44"/>
      <c r="M27" s="44"/>
      <c r="N27" s="44"/>
      <c r="O27" s="44"/>
      <c r="P27" s="44"/>
      <c r="Q27" s="44"/>
      <c r="R27" s="44"/>
      <c r="S27" s="44"/>
      <c r="T27" s="44"/>
      <c r="U27" s="44"/>
      <c r="V27" s="44"/>
      <c r="W27" s="44"/>
      <c r="X27" s="44"/>
      <c r="Y27" s="44"/>
    </row>
    <row r="28" spans="1:25" ht="60" customHeight="1" x14ac:dyDescent="0.3">
      <c r="A28" s="171">
        <v>24</v>
      </c>
      <c r="B28" s="177" t="s">
        <v>379</v>
      </c>
      <c r="C28" s="178" t="s">
        <v>380</v>
      </c>
      <c r="D28" s="179" t="s">
        <v>2020</v>
      </c>
      <c r="E28" s="178" t="s">
        <v>577</v>
      </c>
      <c r="F28" s="180" t="s">
        <v>2088</v>
      </c>
      <c r="G28" s="171" t="s">
        <v>577</v>
      </c>
      <c r="H28" s="171" t="s">
        <v>578</v>
      </c>
      <c r="I28" s="171" t="s">
        <v>579</v>
      </c>
      <c r="J28" s="171" t="s">
        <v>580</v>
      </c>
      <c r="K28" s="168"/>
      <c r="L28" s="43"/>
      <c r="M28" s="43"/>
      <c r="N28" s="43"/>
      <c r="O28" s="43"/>
      <c r="P28" s="43"/>
      <c r="Q28" s="43"/>
      <c r="R28" s="43"/>
      <c r="S28" s="43"/>
      <c r="T28" s="43"/>
      <c r="U28" s="43"/>
      <c r="V28" s="43"/>
      <c r="W28" s="43"/>
      <c r="X28" s="43"/>
      <c r="Y28" s="43"/>
    </row>
    <row r="29" spans="1:25" ht="60" customHeight="1" x14ac:dyDescent="0.3">
      <c r="A29" s="170">
        <v>25</v>
      </c>
      <c r="B29" s="173" t="s">
        <v>383</v>
      </c>
      <c r="C29" s="174" t="s">
        <v>380</v>
      </c>
      <c r="D29" s="175" t="s">
        <v>2020</v>
      </c>
      <c r="E29" s="174" t="s">
        <v>577</v>
      </c>
      <c r="F29" s="176" t="s">
        <v>2088</v>
      </c>
      <c r="G29" s="170" t="s">
        <v>577</v>
      </c>
      <c r="H29" s="170" t="s">
        <v>578</v>
      </c>
      <c r="I29" s="170" t="s">
        <v>384</v>
      </c>
      <c r="J29" s="170" t="s">
        <v>581</v>
      </c>
      <c r="K29" s="167"/>
      <c r="L29" s="44"/>
      <c r="M29" s="44"/>
      <c r="N29" s="44"/>
      <c r="O29" s="44"/>
      <c r="P29" s="44"/>
      <c r="Q29" s="44"/>
      <c r="R29" s="44"/>
      <c r="S29" s="44"/>
      <c r="T29" s="44"/>
      <c r="U29" s="44"/>
      <c r="V29" s="44"/>
      <c r="W29" s="44"/>
      <c r="X29" s="44"/>
      <c r="Y29" s="44"/>
    </row>
    <row r="30" spans="1:25" ht="60" customHeight="1" x14ac:dyDescent="0.3">
      <c r="A30" s="171">
        <v>26</v>
      </c>
      <c r="B30" s="177" t="s">
        <v>386</v>
      </c>
      <c r="C30" s="178" t="s">
        <v>380</v>
      </c>
      <c r="D30" s="179" t="s">
        <v>2020</v>
      </c>
      <c r="E30" s="178" t="s">
        <v>582</v>
      </c>
      <c r="F30" s="180" t="s">
        <v>2088</v>
      </c>
      <c r="G30" s="171" t="s">
        <v>582</v>
      </c>
      <c r="H30" s="171" t="s">
        <v>578</v>
      </c>
      <c r="I30" s="171" t="s">
        <v>387</v>
      </c>
      <c r="J30" s="171" t="s">
        <v>583</v>
      </c>
      <c r="K30" s="168"/>
      <c r="L30" s="43"/>
      <c r="M30" s="43"/>
      <c r="N30" s="43"/>
      <c r="O30" s="43"/>
      <c r="P30" s="43"/>
      <c r="Q30" s="43"/>
      <c r="R30" s="43"/>
      <c r="S30" s="43"/>
      <c r="T30" s="43"/>
      <c r="U30" s="43"/>
      <c r="V30" s="43"/>
      <c r="W30" s="43"/>
      <c r="X30" s="43"/>
      <c r="Y30" s="43"/>
    </row>
    <row r="31" spans="1:25" ht="60" customHeight="1" x14ac:dyDescent="0.3">
      <c r="A31" s="170">
        <v>27</v>
      </c>
      <c r="B31" s="173" t="s">
        <v>389</v>
      </c>
      <c r="C31" s="174" t="s">
        <v>380</v>
      </c>
      <c r="D31" s="175" t="s">
        <v>2019</v>
      </c>
      <c r="E31" s="174" t="s">
        <v>2453</v>
      </c>
      <c r="F31" s="176" t="s">
        <v>2088</v>
      </c>
      <c r="G31" s="170" t="s">
        <v>584</v>
      </c>
      <c r="H31" s="170" t="s">
        <v>520</v>
      </c>
      <c r="I31" s="170" t="s">
        <v>585</v>
      </c>
      <c r="J31" s="170" t="s">
        <v>586</v>
      </c>
      <c r="K31" s="167" t="s">
        <v>2008</v>
      </c>
      <c r="L31" s="44">
        <v>3</v>
      </c>
      <c r="M31" s="44" t="s">
        <v>2086</v>
      </c>
      <c r="N31" s="44"/>
      <c r="O31" s="44" t="s">
        <v>2021</v>
      </c>
      <c r="P31" s="44" t="s">
        <v>2016</v>
      </c>
      <c r="Q31" s="44" t="s">
        <v>2618</v>
      </c>
      <c r="R31" s="248">
        <v>46053</v>
      </c>
      <c r="S31" s="44" t="s">
        <v>2619</v>
      </c>
      <c r="T31" s="44">
        <v>500000</v>
      </c>
      <c r="U31" s="44">
        <v>1</v>
      </c>
      <c r="V31" s="44" t="s">
        <v>2620</v>
      </c>
      <c r="W31" s="44" t="s">
        <v>2621</v>
      </c>
      <c r="X31" s="248">
        <v>46053</v>
      </c>
      <c r="Y31" s="44" t="s">
        <v>2622</v>
      </c>
    </row>
    <row r="32" spans="1:25" ht="60" customHeight="1" x14ac:dyDescent="0.3">
      <c r="A32" s="171">
        <v>28</v>
      </c>
      <c r="B32" s="177" t="s">
        <v>392</v>
      </c>
      <c r="C32" s="178" t="s">
        <v>380</v>
      </c>
      <c r="D32" s="179" t="s">
        <v>2020</v>
      </c>
      <c r="E32" s="178" t="s">
        <v>2456</v>
      </c>
      <c r="F32" s="180" t="s">
        <v>2088</v>
      </c>
      <c r="G32" s="171" t="s">
        <v>587</v>
      </c>
      <c r="H32" s="171" t="s">
        <v>520</v>
      </c>
      <c r="I32" s="171" t="s">
        <v>588</v>
      </c>
      <c r="J32" s="171" t="s">
        <v>589</v>
      </c>
      <c r="K32" s="168"/>
      <c r="L32" s="43"/>
      <c r="M32" s="43"/>
      <c r="N32" s="43"/>
      <c r="O32" s="43"/>
      <c r="P32" s="43"/>
      <c r="Q32" s="43"/>
      <c r="R32" s="43"/>
      <c r="S32" s="43"/>
      <c r="T32" s="43"/>
      <c r="U32" s="43"/>
      <c r="V32" s="43"/>
      <c r="W32" s="43"/>
      <c r="X32" s="43"/>
      <c r="Y32" s="43"/>
    </row>
    <row r="33" spans="1:25" ht="60" customHeight="1" x14ac:dyDescent="0.3">
      <c r="A33" s="170">
        <v>29</v>
      </c>
      <c r="B33" s="173" t="s">
        <v>395</v>
      </c>
      <c r="C33" s="174" t="s">
        <v>337</v>
      </c>
      <c r="D33" s="175" t="s">
        <v>2019</v>
      </c>
      <c r="E33" s="174" t="s">
        <v>2260</v>
      </c>
      <c r="F33" s="176" t="s">
        <v>2093</v>
      </c>
      <c r="G33" s="170" t="s">
        <v>542</v>
      </c>
      <c r="H33" s="170" t="s">
        <v>520</v>
      </c>
      <c r="I33" s="170" t="s">
        <v>396</v>
      </c>
      <c r="J33" s="170" t="s">
        <v>590</v>
      </c>
      <c r="K33" s="167"/>
      <c r="L33" s="44"/>
      <c r="M33" s="44"/>
      <c r="N33" s="44"/>
      <c r="O33" s="44"/>
      <c r="P33" s="44"/>
      <c r="Q33" s="44"/>
      <c r="R33" s="44"/>
      <c r="S33" s="44"/>
      <c r="T33" s="44"/>
      <c r="U33" s="44"/>
      <c r="V33" s="44"/>
      <c r="W33" s="44"/>
      <c r="X33" s="44"/>
      <c r="Y33" s="44"/>
    </row>
    <row r="34" spans="1:25" ht="60" customHeight="1" x14ac:dyDescent="0.3">
      <c r="A34" s="171">
        <v>30</v>
      </c>
      <c r="B34" s="177" t="s">
        <v>375</v>
      </c>
      <c r="C34" s="178" t="s">
        <v>357</v>
      </c>
      <c r="D34" s="179" t="s">
        <v>2020</v>
      </c>
      <c r="E34" s="178" t="s">
        <v>2459</v>
      </c>
      <c r="F34" s="180" t="s">
        <v>2111</v>
      </c>
      <c r="G34" s="171" t="s">
        <v>591</v>
      </c>
      <c r="H34" s="171" t="s">
        <v>520</v>
      </c>
      <c r="I34" s="171" t="s">
        <v>592</v>
      </c>
      <c r="J34" s="171" t="s">
        <v>593</v>
      </c>
      <c r="K34" s="168"/>
      <c r="L34" s="43"/>
      <c r="M34" s="43"/>
      <c r="N34" s="43"/>
      <c r="O34" s="43"/>
      <c r="P34" s="43"/>
      <c r="Q34" s="43"/>
      <c r="R34" s="43"/>
      <c r="S34" s="43"/>
      <c r="T34" s="43"/>
      <c r="U34" s="43"/>
      <c r="V34" s="43"/>
      <c r="W34" s="43"/>
      <c r="X34" s="43"/>
      <c r="Y34" s="43"/>
    </row>
    <row r="35" spans="1:25" ht="60" customHeight="1" x14ac:dyDescent="0.3">
      <c r="A35" s="170">
        <v>31</v>
      </c>
      <c r="B35" s="173" t="s">
        <v>487</v>
      </c>
      <c r="C35" s="174" t="s">
        <v>488</v>
      </c>
      <c r="D35" s="175" t="s">
        <v>2020</v>
      </c>
      <c r="E35" s="174" t="s">
        <v>2461</v>
      </c>
      <c r="F35" s="176" t="s">
        <v>2088</v>
      </c>
      <c r="G35" s="170" t="s">
        <v>594</v>
      </c>
      <c r="H35" s="170" t="s">
        <v>520</v>
      </c>
      <c r="I35" s="170" t="s">
        <v>595</v>
      </c>
      <c r="J35" s="170" t="s">
        <v>596</v>
      </c>
      <c r="K35" s="167" t="s">
        <v>2008</v>
      </c>
      <c r="L35" s="44">
        <v>4</v>
      </c>
      <c r="M35" s="44" t="s">
        <v>2086</v>
      </c>
      <c r="N35" s="44"/>
      <c r="O35" s="44" t="s">
        <v>2021</v>
      </c>
      <c r="P35" s="44" t="s">
        <v>2017</v>
      </c>
      <c r="Q35" s="44" t="s">
        <v>2623</v>
      </c>
      <c r="R35" s="248">
        <v>46006</v>
      </c>
      <c r="S35" s="44" t="s">
        <v>2624</v>
      </c>
      <c r="T35" s="44">
        <v>100000</v>
      </c>
      <c r="U35" s="44">
        <v>1</v>
      </c>
      <c r="V35" s="44" t="s">
        <v>2625</v>
      </c>
      <c r="W35" s="44" t="s">
        <v>2626</v>
      </c>
      <c r="X35" s="248">
        <v>46037</v>
      </c>
      <c r="Y35" s="44" t="s">
        <v>2627</v>
      </c>
    </row>
    <row r="36" spans="1:25" ht="60" customHeight="1" x14ac:dyDescent="0.3">
      <c r="A36" s="171">
        <v>32</v>
      </c>
      <c r="B36" s="177" t="s">
        <v>491</v>
      </c>
      <c r="C36" s="178" t="s">
        <v>488</v>
      </c>
      <c r="D36" s="179" t="s">
        <v>2020</v>
      </c>
      <c r="E36" s="178" t="s">
        <v>2463</v>
      </c>
      <c r="F36" s="180" t="s">
        <v>2088</v>
      </c>
      <c r="G36" s="171" t="s">
        <v>597</v>
      </c>
      <c r="H36" s="171" t="s">
        <v>520</v>
      </c>
      <c r="I36" s="171" t="s">
        <v>598</v>
      </c>
      <c r="J36" s="171" t="s">
        <v>599</v>
      </c>
      <c r="K36" s="168"/>
      <c r="L36" s="43"/>
      <c r="M36" s="43"/>
      <c r="N36" s="43"/>
      <c r="O36" s="43"/>
      <c r="P36" s="43"/>
      <c r="Q36" s="43"/>
      <c r="R36" s="43"/>
      <c r="S36" s="43"/>
      <c r="T36" s="43"/>
      <c r="U36" s="43"/>
      <c r="V36" s="43"/>
      <c r="W36" s="43"/>
      <c r="X36" s="43"/>
      <c r="Y36" s="43"/>
    </row>
    <row r="37" spans="1:25" ht="60" customHeight="1" x14ac:dyDescent="0.3">
      <c r="A37" s="170">
        <v>33</v>
      </c>
      <c r="B37" s="173" t="s">
        <v>403</v>
      </c>
      <c r="C37" s="174" t="s">
        <v>2464</v>
      </c>
      <c r="D37" s="175" t="s">
        <v>2021</v>
      </c>
      <c r="E37" s="174" t="s">
        <v>2466</v>
      </c>
      <c r="F37" s="176" t="s">
        <v>2111</v>
      </c>
      <c r="G37" s="170" t="s">
        <v>600</v>
      </c>
      <c r="H37" s="170" t="s">
        <v>601</v>
      </c>
      <c r="I37" s="170" t="s">
        <v>602</v>
      </c>
      <c r="J37" s="170" t="s">
        <v>603</v>
      </c>
      <c r="K37" s="167"/>
      <c r="L37" s="44"/>
      <c r="M37" s="44"/>
      <c r="N37" s="44"/>
      <c r="O37" s="44"/>
      <c r="P37" s="44"/>
      <c r="Q37" s="44"/>
      <c r="R37" s="44"/>
      <c r="S37" s="44"/>
      <c r="T37" s="44"/>
      <c r="U37" s="44"/>
      <c r="V37" s="44"/>
      <c r="W37" s="44"/>
      <c r="X37" s="44"/>
      <c r="Y37" s="44"/>
    </row>
    <row r="38" spans="1:25" ht="60" customHeight="1" x14ac:dyDescent="0.3">
      <c r="A38" s="171">
        <v>34</v>
      </c>
      <c r="B38" s="177" t="s">
        <v>406</v>
      </c>
      <c r="C38" s="178" t="s">
        <v>2464</v>
      </c>
      <c r="D38" s="179" t="s">
        <v>2021</v>
      </c>
      <c r="E38" s="178" t="s">
        <v>2466</v>
      </c>
      <c r="F38" s="180" t="s">
        <v>2111</v>
      </c>
      <c r="G38" s="171" t="s">
        <v>600</v>
      </c>
      <c r="H38" s="171" t="s">
        <v>520</v>
      </c>
      <c r="I38" s="171" t="s">
        <v>604</v>
      </c>
      <c r="J38" s="171" t="s">
        <v>605</v>
      </c>
      <c r="K38" s="168"/>
      <c r="L38" s="43"/>
      <c r="M38" s="43"/>
      <c r="N38" s="43"/>
      <c r="O38" s="43"/>
      <c r="P38" s="43"/>
      <c r="Q38" s="43"/>
      <c r="R38" s="43"/>
      <c r="S38" s="43"/>
      <c r="T38" s="43"/>
      <c r="U38" s="43"/>
      <c r="V38" s="43"/>
      <c r="W38" s="43"/>
      <c r="X38" s="43"/>
      <c r="Y38" s="43"/>
    </row>
    <row r="39" spans="1:25" ht="60" customHeight="1" x14ac:dyDescent="0.3">
      <c r="A39" s="170">
        <v>35</v>
      </c>
      <c r="B39" s="173" t="s">
        <v>399</v>
      </c>
      <c r="C39" s="174" t="s">
        <v>2464</v>
      </c>
      <c r="D39" s="175" t="s">
        <v>2018</v>
      </c>
      <c r="E39" s="174" t="s">
        <v>2469</v>
      </c>
      <c r="F39" s="176" t="s">
        <v>2111</v>
      </c>
      <c r="G39" s="170" t="s">
        <v>606</v>
      </c>
      <c r="H39" s="170" t="s">
        <v>520</v>
      </c>
      <c r="I39" s="170" t="s">
        <v>401</v>
      </c>
      <c r="J39" s="170" t="s">
        <v>607</v>
      </c>
      <c r="K39" s="167" t="s">
        <v>2010</v>
      </c>
      <c r="L39" s="44">
        <v>0</v>
      </c>
      <c r="M39" s="44" t="s">
        <v>2598</v>
      </c>
      <c r="N39" s="44" t="s">
        <v>2628</v>
      </c>
      <c r="O39" s="44" t="s">
        <v>2018</v>
      </c>
      <c r="P39" s="44" t="s">
        <v>2012</v>
      </c>
      <c r="Q39" s="44" t="s">
        <v>2606</v>
      </c>
      <c r="R39" s="248">
        <v>46326</v>
      </c>
      <c r="S39" s="44" t="s">
        <v>2629</v>
      </c>
      <c r="T39" s="44">
        <v>5000000</v>
      </c>
      <c r="U39" s="44">
        <v>0</v>
      </c>
      <c r="V39" s="44" t="s">
        <v>2608</v>
      </c>
      <c r="W39" s="44"/>
      <c r="X39" s="248">
        <v>46068</v>
      </c>
      <c r="Y39" s="44" t="s">
        <v>2630</v>
      </c>
    </row>
    <row r="40" spans="1:25" ht="60" customHeight="1" x14ac:dyDescent="0.3">
      <c r="A40" s="171">
        <v>36</v>
      </c>
      <c r="B40" s="177" t="s">
        <v>409</v>
      </c>
      <c r="C40" s="178" t="s">
        <v>2464</v>
      </c>
      <c r="D40" s="179" t="s">
        <v>2021</v>
      </c>
      <c r="E40" s="178" t="s">
        <v>2472</v>
      </c>
      <c r="F40" s="180" t="s">
        <v>2111</v>
      </c>
      <c r="G40" s="171" t="s">
        <v>608</v>
      </c>
      <c r="H40" s="171" t="s">
        <v>609</v>
      </c>
      <c r="I40" s="171" t="s">
        <v>602</v>
      </c>
      <c r="J40" s="171" t="s">
        <v>610</v>
      </c>
      <c r="K40" s="168"/>
      <c r="L40" s="43"/>
      <c r="M40" s="43"/>
      <c r="N40" s="43"/>
      <c r="O40" s="43"/>
      <c r="P40" s="43"/>
      <c r="Q40" s="43"/>
      <c r="R40" s="43"/>
      <c r="S40" s="43"/>
      <c r="T40" s="43"/>
      <c r="U40" s="43"/>
      <c r="V40" s="43"/>
      <c r="W40" s="43"/>
      <c r="X40" s="43"/>
      <c r="Y40" s="43"/>
    </row>
    <row r="41" spans="1:25" ht="60" customHeight="1" x14ac:dyDescent="0.3">
      <c r="A41" s="170">
        <v>37</v>
      </c>
      <c r="B41" s="173" t="s">
        <v>2473</v>
      </c>
      <c r="C41" s="174" t="s">
        <v>2464</v>
      </c>
      <c r="D41" s="175" t="s">
        <v>2021</v>
      </c>
      <c r="E41" s="174" t="s">
        <v>2466</v>
      </c>
      <c r="F41" s="176" t="s">
        <v>2111</v>
      </c>
      <c r="G41" s="170" t="s">
        <v>611</v>
      </c>
      <c r="H41" s="170" t="s">
        <v>520</v>
      </c>
      <c r="I41" s="170" t="s">
        <v>604</v>
      </c>
      <c r="J41" s="170" t="s">
        <v>612</v>
      </c>
      <c r="K41" s="167"/>
      <c r="L41" s="44"/>
      <c r="M41" s="44"/>
      <c r="N41" s="44"/>
      <c r="O41" s="44"/>
      <c r="P41" s="44"/>
      <c r="Q41" s="44"/>
      <c r="R41" s="44"/>
      <c r="S41" s="44"/>
      <c r="T41" s="44"/>
      <c r="U41" s="44"/>
      <c r="V41" s="44"/>
      <c r="W41" s="44"/>
      <c r="X41" s="44"/>
      <c r="Y41" s="44"/>
    </row>
    <row r="42" spans="1:25" ht="60" customHeight="1" x14ac:dyDescent="0.3">
      <c r="A42" s="171">
        <v>38</v>
      </c>
      <c r="B42" s="177" t="s">
        <v>2476</v>
      </c>
      <c r="C42" s="178" t="s">
        <v>2464</v>
      </c>
      <c r="D42" s="179" t="s">
        <v>2021</v>
      </c>
      <c r="E42" s="178" t="s">
        <v>2472</v>
      </c>
      <c r="F42" s="180" t="s">
        <v>2111</v>
      </c>
      <c r="G42" s="171" t="s">
        <v>613</v>
      </c>
      <c r="H42" s="171" t="s">
        <v>614</v>
      </c>
      <c r="I42" s="171" t="s">
        <v>615</v>
      </c>
      <c r="J42" s="171" t="s">
        <v>616</v>
      </c>
      <c r="K42" s="168"/>
      <c r="L42" s="43"/>
      <c r="M42" s="43"/>
      <c r="N42" s="43"/>
      <c r="O42" s="43"/>
      <c r="P42" s="43"/>
      <c r="Q42" s="43"/>
      <c r="R42" s="43"/>
      <c r="S42" s="43"/>
      <c r="T42" s="43"/>
      <c r="U42" s="43"/>
      <c r="V42" s="43"/>
      <c r="W42" s="43"/>
      <c r="X42" s="43"/>
      <c r="Y42" s="43"/>
    </row>
    <row r="43" spans="1:25" ht="60" customHeight="1" x14ac:dyDescent="0.3">
      <c r="A43" s="170">
        <v>39</v>
      </c>
      <c r="B43" s="173" t="s">
        <v>2479</v>
      </c>
      <c r="C43" s="174" t="s">
        <v>2464</v>
      </c>
      <c r="D43" s="175" t="s">
        <v>2021</v>
      </c>
      <c r="E43" s="174" t="s">
        <v>2472</v>
      </c>
      <c r="F43" s="176" t="s">
        <v>2111</v>
      </c>
      <c r="G43" s="170" t="s">
        <v>613</v>
      </c>
      <c r="H43" s="170" t="s">
        <v>617</v>
      </c>
      <c r="I43" s="170" t="s">
        <v>618</v>
      </c>
      <c r="J43" s="170" t="s">
        <v>619</v>
      </c>
      <c r="K43" s="167"/>
      <c r="L43" s="44"/>
      <c r="M43" s="44"/>
      <c r="N43" s="44"/>
      <c r="O43" s="44"/>
      <c r="P43" s="44"/>
      <c r="Q43" s="44"/>
      <c r="R43" s="44"/>
      <c r="S43" s="44"/>
      <c r="T43" s="44"/>
      <c r="U43" s="44"/>
      <c r="V43" s="44"/>
      <c r="W43" s="44"/>
      <c r="X43" s="44"/>
      <c r="Y43" s="44"/>
    </row>
    <row r="44" spans="1:25" ht="60" customHeight="1" x14ac:dyDescent="0.3">
      <c r="A44" s="171">
        <v>40</v>
      </c>
      <c r="B44" s="177" t="s">
        <v>2481</v>
      </c>
      <c r="C44" s="178" t="s">
        <v>2464</v>
      </c>
      <c r="D44" s="179" t="s">
        <v>2021</v>
      </c>
      <c r="E44" s="178" t="s">
        <v>2472</v>
      </c>
      <c r="F44" s="180" t="s">
        <v>2111</v>
      </c>
      <c r="G44" s="171" t="s">
        <v>613</v>
      </c>
      <c r="H44" s="171" t="s">
        <v>620</v>
      </c>
      <c r="I44" s="171" t="s">
        <v>621</v>
      </c>
      <c r="J44" s="171" t="s">
        <v>622</v>
      </c>
      <c r="K44" s="168"/>
      <c r="L44" s="43"/>
      <c r="M44" s="43"/>
      <c r="N44" s="43"/>
      <c r="O44" s="43"/>
      <c r="P44" s="43"/>
      <c r="Q44" s="43"/>
      <c r="R44" s="43"/>
      <c r="S44" s="43"/>
      <c r="T44" s="43"/>
      <c r="U44" s="43"/>
      <c r="V44" s="43"/>
      <c r="W44" s="43"/>
      <c r="X44" s="43"/>
      <c r="Y44" s="43"/>
    </row>
    <row r="45" spans="1:25" ht="60" customHeight="1" x14ac:dyDescent="0.3">
      <c r="A45" s="170">
        <v>41</v>
      </c>
      <c r="B45" s="173" t="s">
        <v>2483</v>
      </c>
      <c r="C45" s="174" t="s">
        <v>2464</v>
      </c>
      <c r="D45" s="175" t="s">
        <v>2021</v>
      </c>
      <c r="E45" s="174" t="s">
        <v>2472</v>
      </c>
      <c r="F45" s="176" t="s">
        <v>2111</v>
      </c>
      <c r="G45" s="170" t="s">
        <v>613</v>
      </c>
      <c r="H45" s="170" t="s">
        <v>623</v>
      </c>
      <c r="I45" s="170" t="s">
        <v>624</v>
      </c>
      <c r="J45" s="170" t="s">
        <v>625</v>
      </c>
      <c r="K45" s="167"/>
      <c r="L45" s="44"/>
      <c r="M45" s="44"/>
      <c r="N45" s="44"/>
      <c r="O45" s="44"/>
      <c r="P45" s="44"/>
      <c r="Q45" s="44"/>
      <c r="R45" s="44"/>
      <c r="S45" s="44"/>
      <c r="T45" s="44"/>
      <c r="U45" s="44"/>
      <c r="V45" s="44"/>
      <c r="W45" s="44"/>
      <c r="X45" s="44"/>
      <c r="Y45" s="44"/>
    </row>
    <row r="46" spans="1:25" ht="60" customHeight="1" x14ac:dyDescent="0.3">
      <c r="A46" s="171">
        <v>42</v>
      </c>
      <c r="B46" s="177" t="s">
        <v>2485</v>
      </c>
      <c r="C46" s="178" t="s">
        <v>2464</v>
      </c>
      <c r="D46" s="179" t="s">
        <v>2021</v>
      </c>
      <c r="E46" s="178" t="s">
        <v>2472</v>
      </c>
      <c r="F46" s="180" t="s">
        <v>2111</v>
      </c>
      <c r="G46" s="171" t="s">
        <v>613</v>
      </c>
      <c r="H46" s="171" t="s">
        <v>626</v>
      </c>
      <c r="I46" s="171" t="s">
        <v>627</v>
      </c>
      <c r="J46" s="171" t="s">
        <v>628</v>
      </c>
      <c r="K46" s="168"/>
      <c r="L46" s="43"/>
      <c r="M46" s="43"/>
      <c r="N46" s="43"/>
      <c r="O46" s="43"/>
      <c r="P46" s="43"/>
      <c r="Q46" s="43"/>
      <c r="R46" s="43"/>
      <c r="S46" s="43"/>
      <c r="T46" s="43"/>
      <c r="U46" s="43"/>
      <c r="V46" s="43"/>
      <c r="W46" s="43"/>
      <c r="X46" s="43"/>
      <c r="Y46" s="43"/>
    </row>
    <row r="47" spans="1:25" ht="60" customHeight="1" x14ac:dyDescent="0.3">
      <c r="A47" s="170">
        <v>43</v>
      </c>
      <c r="B47" s="173" t="s">
        <v>2487</v>
      </c>
      <c r="C47" s="174" t="s">
        <v>2464</v>
      </c>
      <c r="D47" s="175" t="s">
        <v>2021</v>
      </c>
      <c r="E47" s="174" t="s">
        <v>2466</v>
      </c>
      <c r="F47" s="176" t="s">
        <v>2111</v>
      </c>
      <c r="G47" s="170" t="s">
        <v>629</v>
      </c>
      <c r="H47" s="170" t="s">
        <v>630</v>
      </c>
      <c r="I47" s="170" t="s">
        <v>631</v>
      </c>
      <c r="J47" s="170" t="s">
        <v>632</v>
      </c>
      <c r="K47" s="167"/>
      <c r="L47" s="44"/>
      <c r="M47" s="44"/>
      <c r="N47" s="44"/>
      <c r="O47" s="44"/>
      <c r="P47" s="44"/>
      <c r="Q47" s="44"/>
      <c r="R47" s="44"/>
      <c r="S47" s="44"/>
      <c r="T47" s="44"/>
      <c r="U47" s="44"/>
      <c r="V47" s="44"/>
      <c r="W47" s="44"/>
      <c r="X47" s="44"/>
      <c r="Y47" s="44"/>
    </row>
    <row r="48" spans="1:25" ht="60" customHeight="1" x14ac:dyDescent="0.3">
      <c r="A48" s="171">
        <v>44</v>
      </c>
      <c r="B48" s="177" t="s">
        <v>2490</v>
      </c>
      <c r="C48" s="178" t="s">
        <v>2464</v>
      </c>
      <c r="D48" s="179" t="s">
        <v>2021</v>
      </c>
      <c r="E48" s="178" t="s">
        <v>2466</v>
      </c>
      <c r="F48" s="180" t="s">
        <v>2111</v>
      </c>
      <c r="G48" s="171" t="s">
        <v>629</v>
      </c>
      <c r="H48" s="171" t="s">
        <v>633</v>
      </c>
      <c r="I48" s="171" t="s">
        <v>634</v>
      </c>
      <c r="J48" s="171" t="s">
        <v>635</v>
      </c>
      <c r="K48" s="168"/>
      <c r="L48" s="43"/>
      <c r="M48" s="43"/>
      <c r="N48" s="43"/>
      <c r="O48" s="43"/>
      <c r="P48" s="43"/>
      <c r="Q48" s="43"/>
      <c r="R48" s="43"/>
      <c r="S48" s="43"/>
      <c r="T48" s="43"/>
      <c r="U48" s="43"/>
      <c r="V48" s="43"/>
      <c r="W48" s="43"/>
      <c r="X48" s="43"/>
      <c r="Y48" s="43"/>
    </row>
    <row r="49" spans="1:25" ht="60" customHeight="1" x14ac:dyDescent="0.3">
      <c r="A49" s="170">
        <v>45</v>
      </c>
      <c r="B49" s="173" t="s">
        <v>2493</v>
      </c>
      <c r="C49" s="174" t="s">
        <v>2464</v>
      </c>
      <c r="D49" s="175" t="s">
        <v>2021</v>
      </c>
      <c r="E49" s="174" t="s">
        <v>2466</v>
      </c>
      <c r="F49" s="176" t="s">
        <v>2111</v>
      </c>
      <c r="G49" s="170" t="s">
        <v>600</v>
      </c>
      <c r="H49" s="170" t="s">
        <v>520</v>
      </c>
      <c r="I49" s="170" t="s">
        <v>636</v>
      </c>
      <c r="J49" s="170" t="s">
        <v>637</v>
      </c>
      <c r="K49" s="167"/>
      <c r="L49" s="44"/>
      <c r="M49" s="44"/>
      <c r="N49" s="44"/>
      <c r="O49" s="44"/>
      <c r="P49" s="44"/>
      <c r="Q49" s="44"/>
      <c r="R49" s="44"/>
      <c r="S49" s="44"/>
      <c r="T49" s="44"/>
      <c r="U49" s="44"/>
      <c r="V49" s="44"/>
      <c r="W49" s="44"/>
      <c r="X49" s="44"/>
      <c r="Y49" s="44"/>
    </row>
    <row r="50" spans="1:25" ht="60" customHeight="1" x14ac:dyDescent="0.3">
      <c r="A50" s="171">
        <v>46</v>
      </c>
      <c r="B50" s="177" t="s">
        <v>2496</v>
      </c>
      <c r="C50" s="178" t="s">
        <v>2464</v>
      </c>
      <c r="D50" s="179" t="s">
        <v>2021</v>
      </c>
      <c r="E50" s="178" t="s">
        <v>2466</v>
      </c>
      <c r="F50" s="180" t="s">
        <v>2111</v>
      </c>
      <c r="G50" s="171" t="s">
        <v>629</v>
      </c>
      <c r="H50" s="171" t="s">
        <v>633</v>
      </c>
      <c r="I50" s="171" t="s">
        <v>638</v>
      </c>
      <c r="J50" s="171" t="s">
        <v>639</v>
      </c>
      <c r="K50" s="168"/>
      <c r="L50" s="43"/>
      <c r="M50" s="43"/>
      <c r="N50" s="43"/>
      <c r="O50" s="43"/>
      <c r="P50" s="43"/>
      <c r="Q50" s="43"/>
      <c r="R50" s="43"/>
      <c r="S50" s="43"/>
      <c r="T50" s="43"/>
      <c r="U50" s="43"/>
      <c r="V50" s="43"/>
      <c r="W50" s="43"/>
      <c r="X50" s="43"/>
      <c r="Y50" s="43"/>
    </row>
    <row r="51" spans="1:25" ht="60" customHeight="1" x14ac:dyDescent="0.3">
      <c r="A51" s="170">
        <v>47</v>
      </c>
      <c r="B51" s="173" t="s">
        <v>2499</v>
      </c>
      <c r="C51" s="174" t="s">
        <v>2464</v>
      </c>
      <c r="D51" s="175" t="s">
        <v>2021</v>
      </c>
      <c r="E51" s="174" t="s">
        <v>2466</v>
      </c>
      <c r="F51" s="176" t="s">
        <v>2111</v>
      </c>
      <c r="G51" s="170" t="s">
        <v>629</v>
      </c>
      <c r="H51" s="170" t="s">
        <v>633</v>
      </c>
      <c r="I51" s="170" t="s">
        <v>640</v>
      </c>
      <c r="J51" s="170" t="s">
        <v>641</v>
      </c>
      <c r="K51" s="167"/>
      <c r="L51" s="44"/>
      <c r="M51" s="44"/>
      <c r="N51" s="44"/>
      <c r="O51" s="44"/>
      <c r="P51" s="44"/>
      <c r="Q51" s="44"/>
      <c r="R51" s="44"/>
      <c r="S51" s="44"/>
      <c r="T51" s="44"/>
      <c r="U51" s="44"/>
      <c r="V51" s="44"/>
      <c r="W51" s="44"/>
      <c r="X51" s="44"/>
      <c r="Y51" s="44"/>
    </row>
    <row r="52" spans="1:25" ht="60" customHeight="1" x14ac:dyDescent="0.3">
      <c r="A52" s="171">
        <v>48</v>
      </c>
      <c r="B52" s="177" t="s">
        <v>2502</v>
      </c>
      <c r="C52" s="178" t="s">
        <v>2464</v>
      </c>
      <c r="D52" s="179" t="s">
        <v>2021</v>
      </c>
      <c r="E52" s="178" t="s">
        <v>2466</v>
      </c>
      <c r="F52" s="180" t="s">
        <v>2111</v>
      </c>
      <c r="G52" s="171" t="s">
        <v>600</v>
      </c>
      <c r="H52" s="171" t="s">
        <v>633</v>
      </c>
      <c r="I52" s="171" t="s">
        <v>642</v>
      </c>
      <c r="J52" s="171" t="s">
        <v>643</v>
      </c>
      <c r="K52" s="168"/>
      <c r="L52" s="43"/>
      <c r="M52" s="43"/>
      <c r="N52" s="43"/>
      <c r="O52" s="43"/>
      <c r="P52" s="43"/>
      <c r="Q52" s="43"/>
      <c r="R52" s="43"/>
      <c r="S52" s="43"/>
      <c r="T52" s="43"/>
      <c r="U52" s="43"/>
      <c r="V52" s="43"/>
      <c r="W52" s="43"/>
      <c r="X52" s="43"/>
      <c r="Y52" s="43"/>
    </row>
    <row r="53" spans="1:25" ht="60" customHeight="1" x14ac:dyDescent="0.3">
      <c r="A53" s="170">
        <v>49</v>
      </c>
      <c r="B53" s="173" t="s">
        <v>413</v>
      </c>
      <c r="C53" s="174" t="s">
        <v>414</v>
      </c>
      <c r="D53" s="175" t="s">
        <v>2018</v>
      </c>
      <c r="E53" s="174" t="s">
        <v>2506</v>
      </c>
      <c r="F53" s="176" t="s">
        <v>2116</v>
      </c>
      <c r="G53" s="170" t="s">
        <v>644</v>
      </c>
      <c r="H53" s="170" t="s">
        <v>633</v>
      </c>
      <c r="I53" s="170" t="s">
        <v>415</v>
      </c>
      <c r="J53" s="170" t="s">
        <v>645</v>
      </c>
      <c r="K53" s="167" t="s">
        <v>2011</v>
      </c>
      <c r="L53" s="44">
        <v>0</v>
      </c>
      <c r="M53" s="44" t="s">
        <v>2086</v>
      </c>
      <c r="N53" s="44" t="s">
        <v>2631</v>
      </c>
      <c r="O53" s="44" t="s">
        <v>2021</v>
      </c>
      <c r="P53" s="44"/>
      <c r="Q53" s="44"/>
      <c r="R53" s="44"/>
      <c r="S53" s="44" t="s">
        <v>2632</v>
      </c>
      <c r="T53" s="44"/>
      <c r="U53" s="44"/>
      <c r="V53" s="44" t="s">
        <v>2602</v>
      </c>
      <c r="W53" s="44" t="s">
        <v>2633</v>
      </c>
      <c r="X53" s="248">
        <v>46054</v>
      </c>
      <c r="Y53" s="44" t="s">
        <v>2634</v>
      </c>
    </row>
    <row r="54" spans="1:25" ht="60" customHeight="1" x14ac:dyDescent="0.3">
      <c r="A54" s="171">
        <v>50</v>
      </c>
      <c r="B54" s="177" t="s">
        <v>417</v>
      </c>
      <c r="C54" s="178" t="s">
        <v>414</v>
      </c>
      <c r="D54" s="179" t="s">
        <v>2019</v>
      </c>
      <c r="E54" s="178" t="s">
        <v>2508</v>
      </c>
      <c r="F54" s="180" t="s">
        <v>2116</v>
      </c>
      <c r="G54" s="171" t="s">
        <v>646</v>
      </c>
      <c r="H54" s="171" t="s">
        <v>633</v>
      </c>
      <c r="I54" s="171" t="s">
        <v>418</v>
      </c>
      <c r="J54" s="171" t="s">
        <v>647</v>
      </c>
      <c r="K54" s="168"/>
      <c r="L54" s="43"/>
      <c r="M54" s="43"/>
      <c r="N54" s="43"/>
      <c r="O54" s="43"/>
      <c r="P54" s="43"/>
      <c r="Q54" s="43"/>
      <c r="R54" s="43"/>
      <c r="S54" s="43"/>
      <c r="T54" s="43"/>
      <c r="U54" s="43"/>
      <c r="V54" s="43"/>
      <c r="W54" s="43"/>
      <c r="X54" s="43"/>
      <c r="Y54" s="43"/>
    </row>
    <row r="55" spans="1:25" ht="60" customHeight="1" x14ac:dyDescent="0.3">
      <c r="A55" s="170">
        <v>51</v>
      </c>
      <c r="B55" s="173" t="s">
        <v>420</v>
      </c>
      <c r="C55" s="174" t="s">
        <v>414</v>
      </c>
      <c r="D55" s="175" t="s">
        <v>2019</v>
      </c>
      <c r="E55" s="174" t="s">
        <v>2510</v>
      </c>
      <c r="F55" s="176" t="s">
        <v>2116</v>
      </c>
      <c r="G55" s="170" t="s">
        <v>648</v>
      </c>
      <c r="H55" s="170" t="s">
        <v>633</v>
      </c>
      <c r="I55" s="170" t="s">
        <v>649</v>
      </c>
      <c r="J55" s="170" t="s">
        <v>650</v>
      </c>
      <c r="K55" s="167"/>
      <c r="L55" s="44"/>
      <c r="M55" s="44"/>
      <c r="N55" s="44"/>
      <c r="O55" s="44"/>
      <c r="P55" s="44"/>
      <c r="Q55" s="44"/>
      <c r="R55" s="44"/>
      <c r="S55" s="44"/>
      <c r="T55" s="44"/>
      <c r="U55" s="44"/>
      <c r="V55" s="44"/>
      <c r="W55" s="44"/>
      <c r="X55" s="44"/>
      <c r="Y55" s="44"/>
    </row>
    <row r="56" spans="1:25" ht="60" customHeight="1" x14ac:dyDescent="0.3">
      <c r="A56" s="171">
        <v>52</v>
      </c>
      <c r="B56" s="177" t="s">
        <v>423</v>
      </c>
      <c r="C56" s="178" t="s">
        <v>414</v>
      </c>
      <c r="D56" s="179" t="s">
        <v>2019</v>
      </c>
      <c r="E56" s="178" t="s">
        <v>2512</v>
      </c>
      <c r="F56" s="180" t="s">
        <v>2116</v>
      </c>
      <c r="G56" s="171" t="s">
        <v>651</v>
      </c>
      <c r="H56" s="171" t="s">
        <v>633</v>
      </c>
      <c r="I56" s="171" t="s">
        <v>652</v>
      </c>
      <c r="J56" s="171" t="s">
        <v>653</v>
      </c>
      <c r="K56" s="168"/>
      <c r="L56" s="43"/>
      <c r="M56" s="43"/>
      <c r="N56" s="43"/>
      <c r="O56" s="43"/>
      <c r="P56" s="43"/>
      <c r="Q56" s="43"/>
      <c r="R56" s="43"/>
      <c r="S56" s="43"/>
      <c r="T56" s="43"/>
      <c r="U56" s="43"/>
      <c r="V56" s="43"/>
      <c r="W56" s="43"/>
      <c r="X56" s="43"/>
      <c r="Y56" s="43"/>
    </row>
    <row r="57" spans="1:25" ht="60" customHeight="1" x14ac:dyDescent="0.3">
      <c r="A57" s="170">
        <v>53</v>
      </c>
      <c r="B57" s="173" t="s">
        <v>425</v>
      </c>
      <c r="C57" s="174" t="s">
        <v>414</v>
      </c>
      <c r="D57" s="175" t="s">
        <v>2020</v>
      </c>
      <c r="E57" s="174" t="s">
        <v>2282</v>
      </c>
      <c r="F57" s="176" t="s">
        <v>2116</v>
      </c>
      <c r="G57" s="170" t="s">
        <v>654</v>
      </c>
      <c r="H57" s="170" t="s">
        <v>633</v>
      </c>
      <c r="I57" s="170" t="s">
        <v>655</v>
      </c>
      <c r="J57" s="170" t="s">
        <v>656</v>
      </c>
      <c r="K57" s="167"/>
      <c r="L57" s="44"/>
      <c r="M57" s="44"/>
      <c r="N57" s="44"/>
      <c r="O57" s="44"/>
      <c r="P57" s="44"/>
      <c r="Q57" s="44"/>
      <c r="R57" s="44"/>
      <c r="S57" s="44"/>
      <c r="T57" s="44"/>
      <c r="U57" s="44"/>
      <c r="V57" s="44"/>
      <c r="W57" s="44"/>
      <c r="X57" s="44"/>
      <c r="Y57" s="44"/>
    </row>
    <row r="58" spans="1:25" ht="60" customHeight="1" x14ac:dyDescent="0.3">
      <c r="A58" s="171">
        <v>54</v>
      </c>
      <c r="B58" s="177" t="s">
        <v>428</v>
      </c>
      <c r="C58" s="178" t="s">
        <v>414</v>
      </c>
      <c r="D58" s="179" t="s">
        <v>2020</v>
      </c>
      <c r="E58" s="178" t="s">
        <v>2515</v>
      </c>
      <c r="F58" s="180" t="s">
        <v>2116</v>
      </c>
      <c r="G58" s="171" t="s">
        <v>657</v>
      </c>
      <c r="H58" s="171" t="s">
        <v>633</v>
      </c>
      <c r="I58" s="171" t="s">
        <v>658</v>
      </c>
      <c r="J58" s="171" t="s">
        <v>659</v>
      </c>
      <c r="K58" s="168"/>
      <c r="L58" s="43"/>
      <c r="M58" s="43"/>
      <c r="N58" s="43"/>
      <c r="O58" s="43"/>
      <c r="P58" s="43"/>
      <c r="Q58" s="43"/>
      <c r="R58" s="43"/>
      <c r="S58" s="43"/>
      <c r="T58" s="43"/>
      <c r="U58" s="43"/>
      <c r="V58" s="43"/>
      <c r="W58" s="43"/>
      <c r="X58" s="43"/>
      <c r="Y58" s="43"/>
    </row>
    <row r="59" spans="1:25" ht="60" customHeight="1" x14ac:dyDescent="0.3">
      <c r="A59" s="170">
        <v>55</v>
      </c>
      <c r="B59" s="173" t="s">
        <v>431</v>
      </c>
      <c r="C59" s="174" t="s">
        <v>414</v>
      </c>
      <c r="D59" s="175" t="s">
        <v>2020</v>
      </c>
      <c r="E59" s="174" t="s">
        <v>2518</v>
      </c>
      <c r="F59" s="176" t="s">
        <v>2116</v>
      </c>
      <c r="G59" s="170" t="s">
        <v>660</v>
      </c>
      <c r="H59" s="170" t="s">
        <v>661</v>
      </c>
      <c r="I59" s="170" t="s">
        <v>662</v>
      </c>
      <c r="J59" s="170" t="s">
        <v>663</v>
      </c>
      <c r="K59" s="167"/>
      <c r="L59" s="44"/>
      <c r="M59" s="44"/>
      <c r="N59" s="44"/>
      <c r="O59" s="44"/>
      <c r="P59" s="44"/>
      <c r="Q59" s="44"/>
      <c r="R59" s="44"/>
      <c r="S59" s="44"/>
      <c r="T59" s="44"/>
      <c r="U59" s="44"/>
      <c r="V59" s="44"/>
      <c r="W59" s="44"/>
      <c r="X59" s="44"/>
      <c r="Y59" s="44"/>
    </row>
    <row r="60" spans="1:25" ht="60" customHeight="1" x14ac:dyDescent="0.3">
      <c r="A60" s="171">
        <v>56</v>
      </c>
      <c r="B60" s="177" t="s">
        <v>436</v>
      </c>
      <c r="C60" s="178" t="s">
        <v>437</v>
      </c>
      <c r="D60" s="179" t="s">
        <v>2019</v>
      </c>
      <c r="E60" s="178" t="s">
        <v>2521</v>
      </c>
      <c r="F60" s="180" t="s">
        <v>2088</v>
      </c>
      <c r="G60" s="171" t="s">
        <v>664</v>
      </c>
      <c r="H60" s="171" t="s">
        <v>520</v>
      </c>
      <c r="I60" s="171" t="s">
        <v>665</v>
      </c>
      <c r="J60" s="171" t="s">
        <v>666</v>
      </c>
      <c r="K60" s="168" t="s">
        <v>2009</v>
      </c>
      <c r="L60" s="43">
        <v>2</v>
      </c>
      <c r="M60" s="43" t="s">
        <v>2598</v>
      </c>
      <c r="N60" s="43" t="s">
        <v>2635</v>
      </c>
      <c r="O60" s="43" t="s">
        <v>2020</v>
      </c>
      <c r="P60" s="43" t="s">
        <v>2014</v>
      </c>
      <c r="Q60" s="43" t="s">
        <v>2623</v>
      </c>
      <c r="R60" s="249">
        <v>46218</v>
      </c>
      <c r="S60" s="43" t="s">
        <v>2636</v>
      </c>
      <c r="T60" s="43">
        <v>1800000</v>
      </c>
      <c r="U60" s="43">
        <v>0.3</v>
      </c>
      <c r="V60" s="43" t="s">
        <v>2602</v>
      </c>
      <c r="W60" s="43" t="s">
        <v>2637</v>
      </c>
      <c r="X60" s="249">
        <v>46063</v>
      </c>
      <c r="Y60" s="43" t="s">
        <v>2638</v>
      </c>
    </row>
    <row r="61" spans="1:25" ht="60" customHeight="1" x14ac:dyDescent="0.3">
      <c r="A61" s="170">
        <v>57</v>
      </c>
      <c r="B61" s="173" t="s">
        <v>440</v>
      </c>
      <c r="C61" s="174" t="s">
        <v>437</v>
      </c>
      <c r="D61" s="175" t="s">
        <v>2020</v>
      </c>
      <c r="E61" s="174" t="s">
        <v>2523</v>
      </c>
      <c r="F61" s="176" t="s">
        <v>2088</v>
      </c>
      <c r="G61" s="170" t="s">
        <v>667</v>
      </c>
      <c r="H61" s="170" t="s">
        <v>520</v>
      </c>
      <c r="I61" s="170" t="s">
        <v>668</v>
      </c>
      <c r="J61" s="170" t="s">
        <v>669</v>
      </c>
      <c r="K61" s="167"/>
      <c r="L61" s="44"/>
      <c r="M61" s="44"/>
      <c r="N61" s="44"/>
      <c r="O61" s="44"/>
      <c r="P61" s="44"/>
      <c r="Q61" s="44"/>
      <c r="R61" s="44"/>
      <c r="S61" s="44"/>
      <c r="T61" s="44"/>
      <c r="U61" s="44"/>
      <c r="V61" s="44"/>
      <c r="W61" s="44"/>
      <c r="X61" s="44"/>
      <c r="Y61" s="44"/>
    </row>
    <row r="62" spans="1:25" ht="60" customHeight="1" x14ac:dyDescent="0.3">
      <c r="A62" s="171">
        <v>58</v>
      </c>
      <c r="B62" s="177" t="s">
        <v>443</v>
      </c>
      <c r="C62" s="178" t="s">
        <v>437</v>
      </c>
      <c r="D62" s="179" t="s">
        <v>2020</v>
      </c>
      <c r="E62" s="178" t="s">
        <v>2525</v>
      </c>
      <c r="F62" s="180" t="s">
        <v>2088</v>
      </c>
      <c r="G62" s="171" t="s">
        <v>670</v>
      </c>
      <c r="H62" s="171" t="s">
        <v>520</v>
      </c>
      <c r="I62" s="171" t="s">
        <v>671</v>
      </c>
      <c r="J62" s="171" t="s">
        <v>672</v>
      </c>
      <c r="K62" s="168"/>
      <c r="L62" s="43"/>
      <c r="M62" s="43"/>
      <c r="N62" s="43"/>
      <c r="O62" s="43"/>
      <c r="P62" s="43"/>
      <c r="Q62" s="43"/>
      <c r="R62" s="43"/>
      <c r="S62" s="43"/>
      <c r="T62" s="43"/>
      <c r="U62" s="43"/>
      <c r="V62" s="43"/>
      <c r="W62" s="43"/>
      <c r="X62" s="43"/>
      <c r="Y62" s="43"/>
    </row>
    <row r="63" spans="1:25" ht="60" customHeight="1" x14ac:dyDescent="0.3">
      <c r="A63" s="170">
        <v>59</v>
      </c>
      <c r="B63" s="173" t="s">
        <v>446</v>
      </c>
      <c r="C63" s="174" t="s">
        <v>437</v>
      </c>
      <c r="D63" s="175" t="s">
        <v>2020</v>
      </c>
      <c r="E63" s="174" t="s">
        <v>2527</v>
      </c>
      <c r="F63" s="176" t="s">
        <v>2088</v>
      </c>
      <c r="G63" s="170" t="s">
        <v>673</v>
      </c>
      <c r="H63" s="170" t="s">
        <v>520</v>
      </c>
      <c r="I63" s="170" t="s">
        <v>674</v>
      </c>
      <c r="J63" s="170" t="s">
        <v>675</v>
      </c>
      <c r="K63" s="167"/>
      <c r="L63" s="44"/>
      <c r="M63" s="44"/>
      <c r="N63" s="44"/>
      <c r="O63" s="44"/>
      <c r="P63" s="44"/>
      <c r="Q63" s="44"/>
      <c r="R63" s="44"/>
      <c r="S63" s="44"/>
      <c r="T63" s="44"/>
      <c r="U63" s="44"/>
      <c r="V63" s="44"/>
      <c r="W63" s="44"/>
      <c r="X63" s="44"/>
      <c r="Y63" s="44"/>
    </row>
    <row r="64" spans="1:25" ht="60" customHeight="1" x14ac:dyDescent="0.3">
      <c r="A64" s="171">
        <v>60</v>
      </c>
      <c r="B64" s="177" t="s">
        <v>449</v>
      </c>
      <c r="C64" s="178" t="s">
        <v>437</v>
      </c>
      <c r="D64" s="179" t="s">
        <v>2019</v>
      </c>
      <c r="E64" s="178" t="s">
        <v>2529</v>
      </c>
      <c r="F64" s="180" t="s">
        <v>2088</v>
      </c>
      <c r="G64" s="171" t="s">
        <v>676</v>
      </c>
      <c r="H64" s="171" t="s">
        <v>520</v>
      </c>
      <c r="I64" s="171" t="s">
        <v>677</v>
      </c>
      <c r="J64" s="171" t="s">
        <v>678</v>
      </c>
      <c r="K64" s="168"/>
      <c r="L64" s="43"/>
      <c r="M64" s="43"/>
      <c r="N64" s="43"/>
      <c r="O64" s="43"/>
      <c r="P64" s="43"/>
      <c r="Q64" s="43"/>
      <c r="R64" s="43"/>
      <c r="S64" s="43"/>
      <c r="T64" s="43"/>
      <c r="U64" s="43"/>
      <c r="V64" s="43"/>
      <c r="W64" s="43"/>
      <c r="X64" s="43"/>
      <c r="Y64" s="43"/>
    </row>
    <row r="65" spans="1:25" ht="60" customHeight="1" x14ac:dyDescent="0.3">
      <c r="A65" s="170">
        <v>61</v>
      </c>
      <c r="B65" s="173" t="s">
        <v>452</v>
      </c>
      <c r="C65" s="174" t="s">
        <v>437</v>
      </c>
      <c r="D65" s="175" t="s">
        <v>2019</v>
      </c>
      <c r="E65" s="174" t="s">
        <v>2531</v>
      </c>
      <c r="F65" s="176" t="s">
        <v>2088</v>
      </c>
      <c r="G65" s="170" t="s">
        <v>679</v>
      </c>
      <c r="H65" s="170" t="s">
        <v>520</v>
      </c>
      <c r="I65" s="170" t="s">
        <v>680</v>
      </c>
      <c r="J65" s="170" t="s">
        <v>681</v>
      </c>
      <c r="K65" s="167"/>
      <c r="L65" s="44"/>
      <c r="M65" s="44"/>
      <c r="N65" s="44"/>
      <c r="O65" s="44"/>
      <c r="P65" s="44"/>
      <c r="Q65" s="44"/>
      <c r="R65" s="44"/>
      <c r="S65" s="44"/>
      <c r="T65" s="44"/>
      <c r="U65" s="44"/>
      <c r="V65" s="44"/>
      <c r="W65" s="44"/>
      <c r="X65" s="44"/>
      <c r="Y65" s="44"/>
    </row>
    <row r="66" spans="1:25" ht="60" customHeight="1" x14ac:dyDescent="0.3">
      <c r="A66" s="171">
        <v>62</v>
      </c>
      <c r="B66" s="177" t="s">
        <v>455</v>
      </c>
      <c r="C66" s="178" t="s">
        <v>437</v>
      </c>
      <c r="D66" s="179" t="s">
        <v>2020</v>
      </c>
      <c r="E66" s="178" t="s">
        <v>2533</v>
      </c>
      <c r="F66" s="180" t="s">
        <v>2088</v>
      </c>
      <c r="G66" s="171" t="s">
        <v>682</v>
      </c>
      <c r="H66" s="171" t="s">
        <v>520</v>
      </c>
      <c r="I66" s="171" t="s">
        <v>683</v>
      </c>
      <c r="J66" s="171" t="s">
        <v>684</v>
      </c>
      <c r="K66" s="168"/>
      <c r="L66" s="43"/>
      <c r="M66" s="43"/>
      <c r="N66" s="43"/>
      <c r="O66" s="43"/>
      <c r="P66" s="43"/>
      <c r="Q66" s="43"/>
      <c r="R66" s="43"/>
      <c r="S66" s="43"/>
      <c r="T66" s="43"/>
      <c r="U66" s="43"/>
      <c r="V66" s="43"/>
      <c r="W66" s="43"/>
      <c r="X66" s="43"/>
      <c r="Y66" s="43"/>
    </row>
    <row r="67" spans="1:25" ht="60" customHeight="1" x14ac:dyDescent="0.3">
      <c r="A67" s="170">
        <v>63</v>
      </c>
      <c r="B67" s="173" t="s">
        <v>459</v>
      </c>
      <c r="C67" s="174" t="s">
        <v>437</v>
      </c>
      <c r="D67" s="175" t="s">
        <v>2020</v>
      </c>
      <c r="E67" s="174" t="s">
        <v>2536</v>
      </c>
      <c r="F67" s="176" t="s">
        <v>2088</v>
      </c>
      <c r="G67" s="170" t="s">
        <v>685</v>
      </c>
      <c r="H67" s="170" t="s">
        <v>686</v>
      </c>
      <c r="I67" s="170" t="s">
        <v>687</v>
      </c>
      <c r="J67" s="170" t="s">
        <v>688</v>
      </c>
      <c r="K67" s="167"/>
      <c r="L67" s="44"/>
      <c r="M67" s="44"/>
      <c r="N67" s="44"/>
      <c r="O67" s="44"/>
      <c r="P67" s="44"/>
      <c r="Q67" s="44"/>
      <c r="R67" s="44"/>
      <c r="S67" s="44"/>
      <c r="T67" s="44"/>
      <c r="U67" s="44"/>
      <c r="V67" s="44"/>
      <c r="W67" s="44"/>
      <c r="X67" s="44"/>
      <c r="Y67" s="44"/>
    </row>
    <row r="68" spans="1:25" ht="60" customHeight="1" x14ac:dyDescent="0.3">
      <c r="A68" s="171">
        <v>64</v>
      </c>
      <c r="B68" s="177" t="s">
        <v>463</v>
      </c>
      <c r="C68" s="178" t="s">
        <v>464</v>
      </c>
      <c r="D68" s="179" t="s">
        <v>2019</v>
      </c>
      <c r="E68" s="178" t="s">
        <v>2538</v>
      </c>
      <c r="F68" s="180" t="s">
        <v>2088</v>
      </c>
      <c r="G68" s="171" t="s">
        <v>689</v>
      </c>
      <c r="H68" s="171" t="s">
        <v>520</v>
      </c>
      <c r="I68" s="171" t="s">
        <v>690</v>
      </c>
      <c r="J68" s="171" t="s">
        <v>691</v>
      </c>
      <c r="K68" s="168" t="s">
        <v>2009</v>
      </c>
      <c r="L68" s="43">
        <v>1</v>
      </c>
      <c r="M68" s="43" t="s">
        <v>2598</v>
      </c>
      <c r="N68" s="43" t="s">
        <v>2639</v>
      </c>
      <c r="O68" s="43" t="s">
        <v>2019</v>
      </c>
      <c r="P68" s="43" t="s">
        <v>2014</v>
      </c>
      <c r="Q68" s="43" t="s">
        <v>2600</v>
      </c>
      <c r="R68" s="249">
        <v>46249</v>
      </c>
      <c r="S68" s="43" t="s">
        <v>2640</v>
      </c>
      <c r="T68" s="43">
        <v>1500000</v>
      </c>
      <c r="U68" s="43">
        <v>0.2</v>
      </c>
      <c r="V68" s="43" t="s">
        <v>2608</v>
      </c>
      <c r="W68" s="43"/>
      <c r="X68" s="249">
        <v>46068</v>
      </c>
      <c r="Y68" s="43" t="s">
        <v>2641</v>
      </c>
    </row>
    <row r="69" spans="1:25" ht="60" customHeight="1" x14ac:dyDescent="0.3">
      <c r="A69" s="170">
        <v>65</v>
      </c>
      <c r="B69" s="173" t="s">
        <v>467</v>
      </c>
      <c r="C69" s="174" t="s">
        <v>464</v>
      </c>
      <c r="D69" s="175" t="s">
        <v>2020</v>
      </c>
      <c r="E69" s="174" t="s">
        <v>2268</v>
      </c>
      <c r="F69" s="176" t="s">
        <v>2088</v>
      </c>
      <c r="G69" s="170" t="s">
        <v>692</v>
      </c>
      <c r="H69" s="170" t="s">
        <v>520</v>
      </c>
      <c r="I69" s="170" t="s">
        <v>693</v>
      </c>
      <c r="J69" s="170" t="s">
        <v>694</v>
      </c>
      <c r="K69" s="167"/>
      <c r="L69" s="44"/>
      <c r="M69" s="44"/>
      <c r="N69" s="44"/>
      <c r="O69" s="44"/>
      <c r="P69" s="44"/>
      <c r="Q69" s="44"/>
      <c r="R69" s="44"/>
      <c r="S69" s="44"/>
      <c r="T69" s="44"/>
      <c r="U69" s="44"/>
      <c r="V69" s="44"/>
      <c r="W69" s="44"/>
      <c r="X69" s="44"/>
      <c r="Y69" s="44"/>
    </row>
    <row r="70" spans="1:25" ht="60" customHeight="1" x14ac:dyDescent="0.3">
      <c r="A70" s="171">
        <v>66</v>
      </c>
      <c r="B70" s="177" t="s">
        <v>471</v>
      </c>
      <c r="C70" s="178" t="s">
        <v>472</v>
      </c>
      <c r="D70" s="179" t="s">
        <v>2021</v>
      </c>
      <c r="E70" s="178" t="s">
        <v>2541</v>
      </c>
      <c r="F70" s="180" t="s">
        <v>2088</v>
      </c>
      <c r="G70" s="171" t="s">
        <v>695</v>
      </c>
      <c r="H70" s="171" t="s">
        <v>696</v>
      </c>
      <c r="I70" s="171" t="s">
        <v>697</v>
      </c>
      <c r="J70" s="171" t="s">
        <v>698</v>
      </c>
      <c r="K70" s="168"/>
      <c r="L70" s="43"/>
      <c r="M70" s="43"/>
      <c r="N70" s="43"/>
      <c r="O70" s="43"/>
      <c r="P70" s="43"/>
      <c r="Q70" s="43"/>
      <c r="R70" s="43"/>
      <c r="S70" s="43"/>
      <c r="T70" s="43"/>
      <c r="U70" s="43"/>
      <c r="V70" s="43"/>
      <c r="W70" s="43"/>
      <c r="X70" s="43"/>
      <c r="Y70" s="43"/>
    </row>
    <row r="71" spans="1:25" ht="60" customHeight="1" x14ac:dyDescent="0.3">
      <c r="A71" s="170">
        <v>67</v>
      </c>
      <c r="B71" s="173" t="s">
        <v>475</v>
      </c>
      <c r="C71" s="174" t="s">
        <v>472</v>
      </c>
      <c r="D71" s="175" t="s">
        <v>2021</v>
      </c>
      <c r="E71" s="174" t="s">
        <v>2541</v>
      </c>
      <c r="F71" s="176" t="s">
        <v>2088</v>
      </c>
      <c r="G71" s="170" t="s">
        <v>695</v>
      </c>
      <c r="H71" s="170" t="s">
        <v>696</v>
      </c>
      <c r="I71" s="170" t="s">
        <v>699</v>
      </c>
      <c r="J71" s="170" t="s">
        <v>700</v>
      </c>
      <c r="K71" s="167"/>
      <c r="L71" s="44"/>
      <c r="M71" s="44"/>
      <c r="N71" s="44"/>
      <c r="O71" s="44"/>
      <c r="P71" s="44"/>
      <c r="Q71" s="44"/>
      <c r="R71" s="44"/>
      <c r="S71" s="44"/>
      <c r="T71" s="44"/>
      <c r="U71" s="44"/>
      <c r="V71" s="44"/>
      <c r="W71" s="44"/>
      <c r="X71" s="44"/>
      <c r="Y71" s="44"/>
    </row>
    <row r="72" spans="1:25" ht="60" customHeight="1" x14ac:dyDescent="0.3">
      <c r="A72" s="171">
        <v>68</v>
      </c>
      <c r="B72" s="177" t="s">
        <v>478</v>
      </c>
      <c r="C72" s="178" t="s">
        <v>472</v>
      </c>
      <c r="D72" s="179" t="s">
        <v>2021</v>
      </c>
      <c r="E72" s="178" t="s">
        <v>2541</v>
      </c>
      <c r="F72" s="180" t="s">
        <v>2088</v>
      </c>
      <c r="G72" s="171" t="s">
        <v>695</v>
      </c>
      <c r="H72" s="171" t="s">
        <v>696</v>
      </c>
      <c r="I72" s="171" t="s">
        <v>701</v>
      </c>
      <c r="J72" s="171" t="s">
        <v>702</v>
      </c>
      <c r="K72" s="168"/>
      <c r="L72" s="43"/>
      <c r="M72" s="43"/>
      <c r="N72" s="43"/>
      <c r="O72" s="43"/>
      <c r="P72" s="43"/>
      <c r="Q72" s="43"/>
      <c r="R72" s="43"/>
      <c r="S72" s="43"/>
      <c r="T72" s="43"/>
      <c r="U72" s="43"/>
      <c r="V72" s="43"/>
      <c r="W72" s="43"/>
      <c r="X72" s="43"/>
      <c r="Y72" s="43"/>
    </row>
    <row r="73" spans="1:25" ht="60" customHeight="1" x14ac:dyDescent="0.3">
      <c r="A73" s="170">
        <v>69</v>
      </c>
      <c r="B73" s="173" t="s">
        <v>2544</v>
      </c>
      <c r="C73" s="174" t="s">
        <v>472</v>
      </c>
      <c r="D73" s="175" t="s">
        <v>2021</v>
      </c>
      <c r="E73" s="174" t="s">
        <v>2541</v>
      </c>
      <c r="F73" s="176" t="s">
        <v>2088</v>
      </c>
      <c r="G73" s="170" t="s">
        <v>695</v>
      </c>
      <c r="H73" s="170" t="s">
        <v>696</v>
      </c>
      <c r="I73" s="170" t="s">
        <v>703</v>
      </c>
      <c r="J73" s="170" t="s">
        <v>704</v>
      </c>
      <c r="K73" s="167"/>
      <c r="L73" s="44"/>
      <c r="M73" s="44"/>
      <c r="N73" s="44"/>
      <c r="O73" s="44"/>
      <c r="P73" s="44"/>
      <c r="Q73" s="44"/>
      <c r="R73" s="44"/>
      <c r="S73" s="44"/>
      <c r="T73" s="44"/>
      <c r="U73" s="44"/>
      <c r="V73" s="44"/>
      <c r="W73" s="44"/>
      <c r="X73" s="44"/>
      <c r="Y73" s="44"/>
    </row>
    <row r="74" spans="1:25" ht="60" customHeight="1" x14ac:dyDescent="0.3">
      <c r="A74" s="171">
        <v>70</v>
      </c>
      <c r="B74" s="177" t="s">
        <v>2546</v>
      </c>
      <c r="C74" s="178" t="s">
        <v>472</v>
      </c>
      <c r="D74" s="179" t="s">
        <v>2021</v>
      </c>
      <c r="E74" s="178" t="s">
        <v>2541</v>
      </c>
      <c r="F74" s="180" t="s">
        <v>2088</v>
      </c>
      <c r="G74" s="171" t="s">
        <v>695</v>
      </c>
      <c r="H74" s="171" t="s">
        <v>696</v>
      </c>
      <c r="I74" s="171" t="s">
        <v>705</v>
      </c>
      <c r="J74" s="171" t="s">
        <v>706</v>
      </c>
      <c r="K74" s="168"/>
      <c r="L74" s="43"/>
      <c r="M74" s="43"/>
      <c r="N74" s="43"/>
      <c r="O74" s="43"/>
      <c r="P74" s="43"/>
      <c r="Q74" s="43"/>
      <c r="R74" s="43"/>
      <c r="S74" s="43"/>
      <c r="T74" s="43"/>
      <c r="U74" s="43"/>
      <c r="V74" s="43"/>
      <c r="W74" s="43"/>
      <c r="X74" s="43"/>
      <c r="Y74" s="43"/>
    </row>
    <row r="75" spans="1:25" ht="60" customHeight="1" x14ac:dyDescent="0.3">
      <c r="A75" s="170">
        <v>71</v>
      </c>
      <c r="B75" s="173" t="s">
        <v>2548</v>
      </c>
      <c r="C75" s="174" t="s">
        <v>472</v>
      </c>
      <c r="D75" s="175" t="s">
        <v>2021</v>
      </c>
      <c r="E75" s="174" t="s">
        <v>2541</v>
      </c>
      <c r="F75" s="176" t="s">
        <v>2088</v>
      </c>
      <c r="G75" s="170" t="s">
        <v>695</v>
      </c>
      <c r="H75" s="170" t="s">
        <v>696</v>
      </c>
      <c r="I75" s="170" t="s">
        <v>337</v>
      </c>
      <c r="J75" s="170" t="s">
        <v>707</v>
      </c>
      <c r="K75" s="167"/>
      <c r="L75" s="44"/>
      <c r="M75" s="44"/>
      <c r="N75" s="44"/>
      <c r="O75" s="44"/>
      <c r="P75" s="44"/>
      <c r="Q75" s="44"/>
      <c r="R75" s="44"/>
      <c r="S75" s="44"/>
      <c r="T75" s="44"/>
      <c r="U75" s="44"/>
      <c r="V75" s="44"/>
      <c r="W75" s="44"/>
      <c r="X75" s="44"/>
      <c r="Y75" s="44"/>
    </row>
    <row r="76" spans="1:25" ht="60" customHeight="1" x14ac:dyDescent="0.3">
      <c r="A76" s="171">
        <v>73</v>
      </c>
      <c r="B76" s="177" t="s">
        <v>2550</v>
      </c>
      <c r="C76" s="178" t="s">
        <v>472</v>
      </c>
      <c r="D76" s="179" t="s">
        <v>2021</v>
      </c>
      <c r="E76" s="178" t="s">
        <v>2541</v>
      </c>
      <c r="F76" s="180" t="s">
        <v>2088</v>
      </c>
      <c r="G76" s="171" t="s">
        <v>695</v>
      </c>
      <c r="H76" s="171" t="s">
        <v>696</v>
      </c>
      <c r="I76" s="171" t="s">
        <v>708</v>
      </c>
      <c r="J76" s="171" t="s">
        <v>709</v>
      </c>
      <c r="K76" s="168"/>
      <c r="L76" s="43"/>
      <c r="M76" s="43"/>
      <c r="N76" s="43"/>
      <c r="O76" s="43"/>
      <c r="P76" s="43"/>
      <c r="Q76" s="43"/>
      <c r="R76" s="43"/>
      <c r="S76" s="43"/>
      <c r="T76" s="43"/>
      <c r="U76" s="43"/>
      <c r="V76" s="43"/>
      <c r="W76" s="43"/>
      <c r="X76" s="43"/>
      <c r="Y76" s="43"/>
    </row>
    <row r="77" spans="1:25" ht="60" customHeight="1" x14ac:dyDescent="0.3">
      <c r="A77" s="170">
        <v>74</v>
      </c>
      <c r="B77" s="173" t="s">
        <v>482</v>
      </c>
      <c r="C77" s="174" t="s">
        <v>483</v>
      </c>
      <c r="D77" s="175" t="s">
        <v>2018</v>
      </c>
      <c r="E77" s="174" t="s">
        <v>2553</v>
      </c>
      <c r="F77" s="176" t="s">
        <v>2093</v>
      </c>
      <c r="G77" s="170" t="s">
        <v>710</v>
      </c>
      <c r="H77" s="170" t="s">
        <v>520</v>
      </c>
      <c r="I77" s="170" t="s">
        <v>711</v>
      </c>
      <c r="J77" s="170" t="s">
        <v>712</v>
      </c>
      <c r="K77" s="167"/>
      <c r="L77" s="44"/>
      <c r="M77" s="44"/>
      <c r="N77" s="44"/>
      <c r="O77" s="44"/>
      <c r="P77" s="44"/>
      <c r="Q77" s="44"/>
      <c r="R77" s="44"/>
      <c r="S77" s="44"/>
      <c r="T77" s="44"/>
      <c r="U77" s="44"/>
      <c r="V77" s="44"/>
      <c r="W77" s="44"/>
      <c r="X77" s="44"/>
      <c r="Y77" s="44"/>
    </row>
    <row r="79" spans="1:25" ht="16.8" x14ac:dyDescent="0.3">
      <c r="A79" s="182" t="s">
        <v>2391</v>
      </c>
      <c r="B79" s="183"/>
      <c r="C79" s="183"/>
      <c r="D79" s="183"/>
      <c r="E79" s="183"/>
      <c r="F79" s="183"/>
      <c r="G79" s="183"/>
      <c r="H79" s="183"/>
      <c r="I79" s="183"/>
      <c r="J79" s="183"/>
      <c r="K79" s="183"/>
      <c r="L79" s="183"/>
      <c r="M79" s="183"/>
      <c r="N79" s="183"/>
      <c r="O79" s="183"/>
    </row>
    <row r="81" spans="2:8" x14ac:dyDescent="0.3">
      <c r="B81" s="184" t="s">
        <v>2392</v>
      </c>
      <c r="G81" s="185" t="s">
        <v>2393</v>
      </c>
      <c r="H81" s="185" t="s">
        <v>2394</v>
      </c>
    </row>
    <row r="82" spans="2:8" x14ac:dyDescent="0.3">
      <c r="B82" s="186" t="s">
        <v>2395</v>
      </c>
      <c r="E82" s="185" t="s">
        <v>514</v>
      </c>
      <c r="G82" s="187">
        <f>SUM(L5:L77)</f>
        <v>15</v>
      </c>
      <c r="H82" s="188">
        <f>COUNTA(A5:A77)*4</f>
        <v>292</v>
      </c>
    </row>
    <row r="83" spans="2:8" x14ac:dyDescent="0.3">
      <c r="B83" s="189" t="s">
        <v>2558</v>
      </c>
      <c r="E83" s="190">
        <f>IF(H83=0,0,G83/H83)</f>
        <v>0.17857142857142858</v>
      </c>
      <c r="G83" s="187" cm="1">
        <f t="array" ref="G83">SUMPRODUCT((D5:D77="Critical")*L5:L77)</f>
        <v>5</v>
      </c>
      <c r="H83" s="188">
        <f>COUNTIF(D5:D77,"Critical")*4</f>
        <v>28</v>
      </c>
    </row>
    <row r="84" spans="2:8" x14ac:dyDescent="0.3">
      <c r="B84" s="191" t="s">
        <v>2559</v>
      </c>
      <c r="E84" s="190">
        <f>IF(H84=0,0,G84/H84)</f>
        <v>6.8181818181818177E-2</v>
      </c>
      <c r="G84" s="187" cm="1">
        <f t="array" ref="G84">SUMPRODUCT((D5:D77="High")*L5:L77)</f>
        <v>6</v>
      </c>
      <c r="H84" s="188">
        <f>COUNTIF(D5:D77,"High")*4</f>
        <v>88</v>
      </c>
    </row>
    <row r="85" spans="2:8" x14ac:dyDescent="0.3">
      <c r="B85" s="192" t="s">
        <v>2560</v>
      </c>
      <c r="E85" s="190">
        <f>IF(H85=0,0,G85/H85)</f>
        <v>0.05</v>
      </c>
      <c r="G85" s="187" cm="1">
        <f t="array" ref="G85">SUMPRODUCT((D5:D77="Medium")*L5:L77)</f>
        <v>4</v>
      </c>
      <c r="H85" s="188">
        <f>COUNTIF(D5:D77,"Medium")*4</f>
        <v>80</v>
      </c>
    </row>
    <row r="86" spans="2:8" x14ac:dyDescent="0.3">
      <c r="B86" s="193" t="s">
        <v>2561</v>
      </c>
      <c r="E86" s="190">
        <f>IF(H86=0,0,G86/H86)</f>
        <v>0</v>
      </c>
      <c r="G86" s="187" cm="1">
        <f t="array" ref="G86">SUMPRODUCT((D5:D77="Low")*L5:L77)</f>
        <v>0</v>
      </c>
      <c r="H86" s="188">
        <f>COUNTIF(D5:D77,"Low")*4</f>
        <v>96</v>
      </c>
    </row>
    <row r="87" spans="2:8" x14ac:dyDescent="0.3">
      <c r="E87" s="194">
        <f>IF(H82=0,0,G82/H82)</f>
        <v>5.1369863013698627E-2</v>
      </c>
    </row>
    <row r="89" spans="2:8" x14ac:dyDescent="0.3">
      <c r="B89" s="184" t="s">
        <v>2400</v>
      </c>
      <c r="G89" s="185" t="s">
        <v>2401</v>
      </c>
      <c r="H89" s="185" t="s">
        <v>2402</v>
      </c>
    </row>
    <row r="90" spans="2:8" x14ac:dyDescent="0.3">
      <c r="B90" s="186" t="s">
        <v>292</v>
      </c>
      <c r="G90" s="195">
        <f>IFERROR(AVERAGEIF(C5:C77,"Consent &amp; Notice",L5:L77),0)</f>
        <v>1.5</v>
      </c>
      <c r="H90" s="188">
        <f>COUNTIF(C5:C77,"Consent &amp; Notice")</f>
        <v>5</v>
      </c>
    </row>
    <row r="91" spans="2:8" x14ac:dyDescent="0.3">
      <c r="B91" s="186" t="s">
        <v>316</v>
      </c>
      <c r="G91" s="195">
        <f>IFERROR(AVERAGEIF(C5:C77,"Consent Manager",L5:L77),0)</f>
        <v>0</v>
      </c>
      <c r="H91" s="188">
        <f>COUNTIF(C5:C77,"Consent Manager")</f>
        <v>6</v>
      </c>
    </row>
    <row r="92" spans="2:8" x14ac:dyDescent="0.3">
      <c r="B92" s="186" t="s">
        <v>337</v>
      </c>
      <c r="G92" s="195">
        <f>IFERROR(AVERAGEIF(C5:C77,"Security Safeguards",L5:L77),0)</f>
        <v>2</v>
      </c>
      <c r="H92" s="188">
        <f>COUNTIF(C5:C77,"Security Safeguards")</f>
        <v>7</v>
      </c>
    </row>
    <row r="93" spans="2:8" x14ac:dyDescent="0.3">
      <c r="B93" s="186" t="s">
        <v>357</v>
      </c>
      <c r="G93" s="195">
        <f>IFERROR(AVERAGEIF(C5:C77,"Breach Notification",L5:L77),0)</f>
        <v>0</v>
      </c>
      <c r="H93" s="188">
        <f>COUNTIF(C5:C77,"Breach Notification")</f>
        <v>7</v>
      </c>
    </row>
    <row r="94" spans="2:8" x14ac:dyDescent="0.3">
      <c r="B94" s="186" t="s">
        <v>380</v>
      </c>
      <c r="G94" s="195">
        <f>IFERROR(AVERAGEIF(C5:C77,"Retention &amp; Erasure",L5:L77),0)</f>
        <v>3</v>
      </c>
      <c r="H94" s="188">
        <f>COUNTIF(C5:C77,"Retention &amp; Erasure")</f>
        <v>5</v>
      </c>
    </row>
    <row r="95" spans="2:8" x14ac:dyDescent="0.3">
      <c r="B95" s="186" t="s">
        <v>2464</v>
      </c>
      <c r="G95" s="195">
        <f>IFERROR(AVERAGEIF(C5:C77,"Children &amp; Exemptions",L5:L77),0)</f>
        <v>0</v>
      </c>
      <c r="H95" s="188">
        <f>COUNTIF(C5:C77,"Children &amp; Exemptions")</f>
        <v>16</v>
      </c>
    </row>
    <row r="96" spans="2:8" x14ac:dyDescent="0.3">
      <c r="B96" s="186" t="s">
        <v>414</v>
      </c>
      <c r="G96" s="195">
        <f>IFERROR(AVERAGEIF(C5:C77,"SDF Obligations",L5:L77),0)</f>
        <v>0</v>
      </c>
      <c r="H96" s="188">
        <f>COUNTIF(C5:C77,"SDF Obligations")</f>
        <v>7</v>
      </c>
    </row>
    <row r="97" spans="2:8" x14ac:dyDescent="0.3">
      <c r="B97" s="186" t="s">
        <v>437</v>
      </c>
      <c r="G97" s="195">
        <f>IFERROR(AVERAGEIF(C5:C77,"Data Principal Rights",L5:L77),0)</f>
        <v>2</v>
      </c>
      <c r="H97" s="188">
        <f>COUNTIF(C5:C77,"Data Principal Rights")</f>
        <v>8</v>
      </c>
    </row>
    <row r="98" spans="2:8" x14ac:dyDescent="0.3">
      <c r="B98" s="186" t="s">
        <v>464</v>
      </c>
      <c r="G98" s="195">
        <f>IFERROR(AVERAGEIF(C5:C77,"Cross-Border Transfer",L5:L77),0)</f>
        <v>1</v>
      </c>
      <c r="H98" s="188">
        <f>COUNTIF(C5:C77,"Cross-Border Transfer")</f>
        <v>2</v>
      </c>
    </row>
    <row r="99" spans="2:8" x14ac:dyDescent="0.3">
      <c r="B99" s="186" t="s">
        <v>472</v>
      </c>
      <c r="G99" s="195">
        <f>IFERROR(AVERAGEIF(C5:C77,"Research &amp; Archiving",L5:L77),0)</f>
        <v>0</v>
      </c>
      <c r="H99" s="188">
        <f>COUNTIF(C5:C77,"Research &amp; Archiving")</f>
        <v>7</v>
      </c>
    </row>
    <row r="100" spans="2:8" x14ac:dyDescent="0.3">
      <c r="B100" s="186" t="s">
        <v>488</v>
      </c>
      <c r="G100" s="195">
        <f>IFERROR(AVERAGEIF(C5:C77,"Contact &amp; Publication",L5:L77),0)</f>
        <v>4</v>
      </c>
      <c r="H100" s="188">
        <f>COUNTIF(C5:C77,"Contact &amp; Publication")</f>
        <v>2</v>
      </c>
    </row>
    <row r="101" spans="2:8" x14ac:dyDescent="0.3">
      <c r="B101" s="186" t="s">
        <v>483</v>
      </c>
      <c r="G101" s="195">
        <f>IFERROR(AVERAGEIF(C5:C77,"Govt. Information Requests",L5:L77),0)</f>
        <v>0</v>
      </c>
      <c r="H101" s="188">
        <f>COUNTIF(C5:C77,"Govt. Information Requests")</f>
        <v>1</v>
      </c>
    </row>
  </sheetData>
  <mergeCells count="6">
    <mergeCell ref="A1:Y1"/>
    <mergeCell ref="A2:Y2"/>
    <mergeCell ref="A3:J3"/>
    <mergeCell ref="K3:O3"/>
    <mergeCell ref="P3:U3"/>
    <mergeCell ref="V3:Y3"/>
  </mergeCells>
  <conditionalFormatting sqref="D5:D77">
    <cfRule type="cellIs" dxfId="20" priority="1" operator="equal">
      <formula>"Critical"</formula>
    </cfRule>
  </conditionalFormatting>
  <conditionalFormatting sqref="D5:D77">
    <cfRule type="cellIs" dxfId="19" priority="2" operator="equal">
      <formula>"High"</formula>
    </cfRule>
  </conditionalFormatting>
  <conditionalFormatting sqref="D5:D77">
    <cfRule type="cellIs" dxfId="18" priority="3" operator="equal">
      <formula>"Medium"</formula>
    </cfRule>
  </conditionalFormatting>
  <conditionalFormatting sqref="D5:D77">
    <cfRule type="cellIs" dxfId="17" priority="4" operator="equal">
      <formula>"Low"</formula>
    </cfRule>
  </conditionalFormatting>
  <dataValidations count="6">
    <dataValidation type="list" allowBlank="1" sqref="K5:K77" xr:uid="{00000000-0002-0000-0300-000000000000}">
      <formula1>"Not Assessed,Compliant,Partially Compliant,Non-Compliant,Not Applicable"</formula1>
      <formula2>0</formula2>
    </dataValidation>
    <dataValidation type="list" allowBlank="1" sqref="L5:L77" xr:uid="{00000000-0002-0000-0300-000001000000}">
      <formula1>"L0 — Absent,L1 — Documented,L2 — Implemented,L3 — Monitored,L4 — Optimised"</formula1>
      <formula2>0</formula2>
    </dataValidation>
    <dataValidation type="list" allowBlank="1" sqref="M5:M77" xr:uid="{00000000-0002-0000-0300-000002000000}">
      <formula1>"Yes,No,Partial"</formula1>
      <formula2>0</formula2>
    </dataValidation>
    <dataValidation type="list" allowBlank="1" sqref="O5:O77" xr:uid="{00000000-0002-0000-0300-000003000000}">
      <formula1>"Critical,High,Medium,Low,N/A"</formula1>
      <formula2>0</formula2>
    </dataValidation>
    <dataValidation type="list" allowBlank="1" sqref="P5:P77" xr:uid="{00000000-0002-0000-0300-000004000000}">
      <formula1>"Not Started,Planning,In Progress,Testing,Implemented,Verified"</formula1>
      <formula2>0</formula2>
    </dataValidation>
    <dataValidation type="list" allowBlank="1" sqref="V5:V77" xr:uid="{00000000-0002-0000-0300-000005000000}">
      <formula1>"Not Collected,In Progress,Collected,Validated,Audit-Ready"</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8E44AD"/>
  </sheetPr>
  <dimension ref="A1:N373"/>
  <sheetViews>
    <sheetView zoomScaleNormal="100" workbookViewId="0">
      <pane xSplit="7" ySplit="2" topLeftCell="H77" activePane="bottomRight" state="frozen"/>
      <selection pane="topRight" activeCell="H1" sqref="H1"/>
      <selection pane="bottomLeft" activeCell="A3" sqref="A3"/>
      <selection pane="bottomRight" activeCell="D79" sqref="D79"/>
    </sheetView>
  </sheetViews>
  <sheetFormatPr defaultColWidth="8.6640625" defaultRowHeight="14.4" x14ac:dyDescent="0.3"/>
  <cols>
    <col min="1" max="1" width="9" customWidth="1"/>
    <col min="2" max="3" width="12" customWidth="1"/>
    <col min="4" max="5" width="38" customWidth="1"/>
    <col min="6" max="6" width="26" customWidth="1"/>
    <col min="7" max="7" width="12" customWidth="1"/>
    <col min="8" max="10" width="14" customWidth="1"/>
    <col min="11" max="11" width="16" customWidth="1"/>
    <col min="12" max="14" width="14" customWidth="1"/>
  </cols>
  <sheetData>
    <row r="1" spans="1:14" ht="31.5" customHeight="1" x14ac:dyDescent="0.3">
      <c r="A1" s="55" t="s">
        <v>713</v>
      </c>
      <c r="B1" s="55"/>
      <c r="C1" s="55"/>
      <c r="D1" s="55"/>
      <c r="E1" s="55"/>
      <c r="F1" s="55"/>
      <c r="G1" s="55"/>
      <c r="H1" s="55"/>
      <c r="I1" s="55"/>
      <c r="J1" s="55"/>
      <c r="K1" s="55"/>
      <c r="L1" s="55"/>
      <c r="M1" s="55"/>
      <c r="N1" s="55"/>
    </row>
    <row r="2" spans="1:14" ht="36" customHeight="1" x14ac:dyDescent="0.3">
      <c r="A2" s="42" t="s">
        <v>499</v>
      </c>
      <c r="B2" s="42" t="s">
        <v>714</v>
      </c>
      <c r="C2" s="42" t="s">
        <v>715</v>
      </c>
      <c r="D2" s="42" t="s">
        <v>716</v>
      </c>
      <c r="E2" s="42" t="s">
        <v>717</v>
      </c>
      <c r="F2" s="42" t="s">
        <v>718</v>
      </c>
      <c r="G2" s="42" t="s">
        <v>719</v>
      </c>
      <c r="H2" s="42" t="s">
        <v>504</v>
      </c>
      <c r="I2" s="42" t="s">
        <v>505</v>
      </c>
      <c r="J2" s="42" t="s">
        <v>509</v>
      </c>
      <c r="K2" s="42" t="s">
        <v>510</v>
      </c>
      <c r="L2" s="42" t="s">
        <v>511</v>
      </c>
      <c r="M2" s="42" t="s">
        <v>508</v>
      </c>
      <c r="N2" s="42" t="s">
        <v>515</v>
      </c>
    </row>
    <row r="3" spans="1:14" ht="48" customHeight="1" x14ac:dyDescent="0.3">
      <c r="A3" s="44" t="s">
        <v>720</v>
      </c>
      <c r="B3" s="44" t="s">
        <v>721</v>
      </c>
      <c r="C3" s="44" t="s">
        <v>722</v>
      </c>
      <c r="D3" s="44" t="s">
        <v>723</v>
      </c>
      <c r="E3" s="44" t="s">
        <v>724</v>
      </c>
      <c r="F3" s="44" t="s">
        <v>725</v>
      </c>
      <c r="G3" s="44" t="s">
        <v>726</v>
      </c>
      <c r="H3" s="44"/>
      <c r="I3" s="44"/>
      <c r="J3" s="44"/>
      <c r="K3" s="44"/>
      <c r="L3" s="44"/>
      <c r="M3" s="44"/>
      <c r="N3" s="44"/>
    </row>
    <row r="4" spans="1:14" ht="48" customHeight="1" x14ac:dyDescent="0.3">
      <c r="A4" s="43" t="s">
        <v>727</v>
      </c>
      <c r="B4" s="43" t="s">
        <v>728</v>
      </c>
      <c r="C4" s="43" t="s">
        <v>729</v>
      </c>
      <c r="D4" s="43" t="s">
        <v>730</v>
      </c>
      <c r="E4" s="43" t="s">
        <v>731</v>
      </c>
      <c r="F4" s="43" t="s">
        <v>732</v>
      </c>
      <c r="G4" s="43" t="s">
        <v>726</v>
      </c>
      <c r="H4" s="43"/>
      <c r="I4" s="43"/>
      <c r="J4" s="43"/>
      <c r="K4" s="43"/>
      <c r="L4" s="43"/>
      <c r="M4" s="43"/>
      <c r="N4" s="43"/>
    </row>
    <row r="5" spans="1:14" ht="48" customHeight="1" x14ac:dyDescent="0.3">
      <c r="A5" s="44" t="s">
        <v>733</v>
      </c>
      <c r="B5" s="44" t="s">
        <v>734</v>
      </c>
      <c r="C5" s="44" t="s">
        <v>735</v>
      </c>
      <c r="D5" s="44" t="s">
        <v>736</v>
      </c>
      <c r="E5" s="44" t="s">
        <v>737</v>
      </c>
      <c r="F5" s="44" t="s">
        <v>738</v>
      </c>
      <c r="G5" s="44" t="s">
        <v>726</v>
      </c>
      <c r="H5" s="44"/>
      <c r="I5" s="44"/>
      <c r="J5" s="44"/>
      <c r="K5" s="44"/>
      <c r="L5" s="44"/>
      <c r="M5" s="44"/>
      <c r="N5" s="44"/>
    </row>
    <row r="6" spans="1:14" ht="48" customHeight="1" x14ac:dyDescent="0.3">
      <c r="A6" s="43" t="s">
        <v>739</v>
      </c>
      <c r="B6" s="43" t="s">
        <v>740</v>
      </c>
      <c r="C6" s="43" t="s">
        <v>722</v>
      </c>
      <c r="D6" s="43" t="s">
        <v>741</v>
      </c>
      <c r="E6" s="43" t="s">
        <v>742</v>
      </c>
      <c r="F6" s="43" t="s">
        <v>743</v>
      </c>
      <c r="G6" s="43" t="s">
        <v>726</v>
      </c>
      <c r="H6" s="43"/>
      <c r="I6" s="43"/>
      <c r="J6" s="43"/>
      <c r="K6" s="43"/>
      <c r="L6" s="43"/>
      <c r="M6" s="43"/>
      <c r="N6" s="43"/>
    </row>
    <row r="7" spans="1:14" ht="48" customHeight="1" x14ac:dyDescent="0.3">
      <c r="A7" s="44" t="s">
        <v>744</v>
      </c>
      <c r="B7" s="44" t="s">
        <v>745</v>
      </c>
      <c r="C7" s="44" t="s">
        <v>746</v>
      </c>
      <c r="D7" s="44" t="s">
        <v>747</v>
      </c>
      <c r="E7" s="44" t="s">
        <v>748</v>
      </c>
      <c r="F7" s="44" t="s">
        <v>749</v>
      </c>
      <c r="G7" s="44" t="s">
        <v>726</v>
      </c>
      <c r="H7" s="44"/>
      <c r="I7" s="44"/>
      <c r="J7" s="44"/>
      <c r="K7" s="44"/>
      <c r="L7" s="44"/>
      <c r="M7" s="44"/>
      <c r="N7" s="44"/>
    </row>
    <row r="8" spans="1:14" ht="48" customHeight="1" x14ac:dyDescent="0.3">
      <c r="A8" s="43" t="s">
        <v>750</v>
      </c>
      <c r="B8" s="43" t="s">
        <v>751</v>
      </c>
      <c r="C8" s="43" t="s">
        <v>752</v>
      </c>
      <c r="D8" s="43" t="s">
        <v>753</v>
      </c>
      <c r="E8" s="43" t="s">
        <v>754</v>
      </c>
      <c r="F8" s="43" t="s">
        <v>755</v>
      </c>
      <c r="G8" s="43" t="s">
        <v>726</v>
      </c>
      <c r="H8" s="43"/>
      <c r="I8" s="43"/>
      <c r="J8" s="43"/>
      <c r="K8" s="43"/>
      <c r="L8" s="43"/>
      <c r="M8" s="43"/>
      <c r="N8" s="43"/>
    </row>
    <row r="9" spans="1:14" ht="48" customHeight="1" x14ac:dyDescent="0.3">
      <c r="A9" s="44" t="s">
        <v>756</v>
      </c>
      <c r="B9" s="44" t="s">
        <v>757</v>
      </c>
      <c r="C9" s="44" t="s">
        <v>758</v>
      </c>
      <c r="D9" s="44" t="s">
        <v>759</v>
      </c>
      <c r="E9" s="44" t="s">
        <v>760</v>
      </c>
      <c r="F9" s="44" t="s">
        <v>761</v>
      </c>
      <c r="G9" s="44" t="s">
        <v>726</v>
      </c>
      <c r="H9" s="44"/>
      <c r="I9" s="44"/>
      <c r="J9" s="44"/>
      <c r="K9" s="44"/>
      <c r="L9" s="44"/>
      <c r="M9" s="44"/>
      <c r="N9" s="44"/>
    </row>
    <row r="10" spans="1:14" ht="21.75" customHeight="1" x14ac:dyDescent="0.3">
      <c r="A10" s="60" t="s">
        <v>762</v>
      </c>
      <c r="B10" s="60"/>
      <c r="C10" s="60"/>
      <c r="D10" s="60"/>
      <c r="E10" s="60"/>
      <c r="F10" s="60"/>
      <c r="G10" s="60"/>
      <c r="H10" s="60"/>
      <c r="I10" s="60"/>
      <c r="J10" s="60"/>
      <c r="K10" s="60"/>
      <c r="L10" s="60"/>
      <c r="M10" s="60"/>
      <c r="N10" s="60"/>
    </row>
    <row r="11" spans="1:14" ht="48" customHeight="1" x14ac:dyDescent="0.3">
      <c r="A11" s="44" t="s">
        <v>763</v>
      </c>
      <c r="B11" s="44" t="s">
        <v>764</v>
      </c>
      <c r="C11" s="44" t="s">
        <v>765</v>
      </c>
      <c r="D11" s="44" t="s">
        <v>766</v>
      </c>
      <c r="E11" s="44" t="s">
        <v>765</v>
      </c>
      <c r="F11" s="44" t="s">
        <v>767</v>
      </c>
      <c r="G11" s="44" t="s">
        <v>726</v>
      </c>
      <c r="H11" s="44"/>
      <c r="I11" s="44"/>
      <c r="J11" s="44"/>
      <c r="K11" s="44"/>
      <c r="L11" s="44"/>
      <c r="M11" s="44"/>
      <c r="N11" s="44"/>
    </row>
    <row r="12" spans="1:14" ht="48" customHeight="1" x14ac:dyDescent="0.3">
      <c r="A12" s="43" t="s">
        <v>768</v>
      </c>
      <c r="B12" s="43" t="s">
        <v>764</v>
      </c>
      <c r="C12" s="43" t="s">
        <v>758</v>
      </c>
      <c r="D12" s="43" t="s">
        <v>769</v>
      </c>
      <c r="E12" s="43" t="s">
        <v>770</v>
      </c>
      <c r="F12" s="43" t="s">
        <v>771</v>
      </c>
      <c r="G12" s="43" t="s">
        <v>726</v>
      </c>
      <c r="H12" s="43"/>
      <c r="I12" s="43"/>
      <c r="J12" s="43"/>
      <c r="K12" s="43"/>
      <c r="L12" s="43"/>
      <c r="M12" s="43"/>
      <c r="N12" s="43"/>
    </row>
    <row r="13" spans="1:14" ht="48" customHeight="1" x14ac:dyDescent="0.3">
      <c r="A13" s="44" t="s">
        <v>772</v>
      </c>
      <c r="B13" s="44" t="s">
        <v>773</v>
      </c>
      <c r="C13" s="44" t="s">
        <v>765</v>
      </c>
      <c r="D13" s="44" t="s">
        <v>774</v>
      </c>
      <c r="E13" s="44" t="s">
        <v>765</v>
      </c>
      <c r="F13" s="44" t="s">
        <v>775</v>
      </c>
      <c r="G13" s="44" t="s">
        <v>726</v>
      </c>
      <c r="H13" s="44"/>
      <c r="I13" s="44"/>
      <c r="J13" s="44"/>
      <c r="K13" s="44"/>
      <c r="L13" s="44"/>
      <c r="M13" s="44"/>
      <c r="N13" s="44"/>
    </row>
    <row r="14" spans="1:14" ht="48" customHeight="1" x14ac:dyDescent="0.3">
      <c r="A14" s="43" t="s">
        <v>776</v>
      </c>
      <c r="B14" s="43" t="s">
        <v>777</v>
      </c>
      <c r="C14" s="43" t="s">
        <v>758</v>
      </c>
      <c r="D14" s="43" t="s">
        <v>778</v>
      </c>
      <c r="E14" s="43" t="s">
        <v>779</v>
      </c>
      <c r="F14" s="43" t="s">
        <v>780</v>
      </c>
      <c r="G14" s="43" t="s">
        <v>726</v>
      </c>
      <c r="H14" s="43"/>
      <c r="I14" s="43"/>
      <c r="J14" s="43"/>
      <c r="K14" s="43"/>
      <c r="L14" s="43"/>
      <c r="M14" s="43"/>
      <c r="N14" s="43"/>
    </row>
    <row r="15" spans="1:14" ht="48" customHeight="1" x14ac:dyDescent="0.3">
      <c r="A15" s="44" t="s">
        <v>781</v>
      </c>
      <c r="B15" s="44" t="s">
        <v>777</v>
      </c>
      <c r="C15" s="44" t="s">
        <v>758</v>
      </c>
      <c r="D15" s="44" t="s">
        <v>782</v>
      </c>
      <c r="E15" s="44" t="s">
        <v>783</v>
      </c>
      <c r="F15" s="44" t="s">
        <v>784</v>
      </c>
      <c r="G15" s="44" t="s">
        <v>726</v>
      </c>
      <c r="H15" s="44"/>
      <c r="I15" s="44"/>
      <c r="J15" s="44"/>
      <c r="K15" s="44"/>
      <c r="L15" s="44"/>
      <c r="M15" s="44"/>
      <c r="N15" s="44"/>
    </row>
    <row r="16" spans="1:14" ht="48" customHeight="1" x14ac:dyDescent="0.3">
      <c r="A16" s="43" t="s">
        <v>785</v>
      </c>
      <c r="B16" s="43" t="s">
        <v>786</v>
      </c>
      <c r="C16" s="43" t="s">
        <v>787</v>
      </c>
      <c r="D16" s="43" t="s">
        <v>788</v>
      </c>
      <c r="E16" s="43" t="s">
        <v>789</v>
      </c>
      <c r="F16" s="43" t="s">
        <v>790</v>
      </c>
      <c r="G16" s="43" t="s">
        <v>726</v>
      </c>
      <c r="H16" s="43"/>
      <c r="I16" s="43"/>
      <c r="J16" s="43"/>
      <c r="K16" s="43"/>
      <c r="L16" s="43"/>
      <c r="M16" s="43"/>
      <c r="N16" s="43"/>
    </row>
    <row r="17" spans="1:14" ht="48" customHeight="1" x14ac:dyDescent="0.3">
      <c r="A17" s="44" t="s">
        <v>791</v>
      </c>
      <c r="B17" s="44" t="s">
        <v>792</v>
      </c>
      <c r="C17" s="44" t="s">
        <v>765</v>
      </c>
      <c r="D17" s="44" t="s">
        <v>793</v>
      </c>
      <c r="E17" s="44" t="s">
        <v>765</v>
      </c>
      <c r="F17" s="44" t="s">
        <v>794</v>
      </c>
      <c r="G17" s="44" t="s">
        <v>726</v>
      </c>
      <c r="H17" s="44"/>
      <c r="I17" s="44"/>
      <c r="J17" s="44"/>
      <c r="K17" s="44"/>
      <c r="L17" s="44"/>
      <c r="M17" s="44"/>
      <c r="N17" s="44"/>
    </row>
    <row r="18" spans="1:14" ht="48" customHeight="1" x14ac:dyDescent="0.3">
      <c r="A18" s="43" t="s">
        <v>795</v>
      </c>
      <c r="B18" s="43" t="s">
        <v>796</v>
      </c>
      <c r="C18" s="43" t="s">
        <v>797</v>
      </c>
      <c r="D18" s="43" t="s">
        <v>798</v>
      </c>
      <c r="E18" s="43" t="s">
        <v>799</v>
      </c>
      <c r="F18" s="43" t="s">
        <v>800</v>
      </c>
      <c r="G18" s="43" t="s">
        <v>801</v>
      </c>
      <c r="H18" s="43"/>
      <c r="I18" s="43"/>
      <c r="J18" s="43"/>
      <c r="K18" s="43"/>
      <c r="L18" s="43"/>
      <c r="M18" s="43"/>
      <c r="N18" s="43"/>
    </row>
    <row r="19" spans="1:14" ht="48" customHeight="1" x14ac:dyDescent="0.3">
      <c r="A19" s="44" t="s">
        <v>802</v>
      </c>
      <c r="B19" s="44" t="s">
        <v>803</v>
      </c>
      <c r="C19" s="44" t="s">
        <v>804</v>
      </c>
      <c r="D19" s="44" t="s">
        <v>805</v>
      </c>
      <c r="E19" s="44" t="s">
        <v>806</v>
      </c>
      <c r="F19" s="44" t="s">
        <v>807</v>
      </c>
      <c r="G19" s="44" t="s">
        <v>726</v>
      </c>
      <c r="H19" s="44"/>
      <c r="I19" s="44"/>
      <c r="J19" s="44"/>
      <c r="K19" s="44"/>
      <c r="L19" s="44"/>
      <c r="M19" s="44"/>
      <c r="N19" s="44"/>
    </row>
    <row r="20" spans="1:14" ht="48" customHeight="1" x14ac:dyDescent="0.3">
      <c r="A20" s="43" t="s">
        <v>808</v>
      </c>
      <c r="B20" s="43" t="s">
        <v>809</v>
      </c>
      <c r="C20" s="43" t="s">
        <v>804</v>
      </c>
      <c r="D20" s="43" t="s">
        <v>810</v>
      </c>
      <c r="E20" s="43" t="s">
        <v>811</v>
      </c>
      <c r="F20" s="43" t="s">
        <v>812</v>
      </c>
      <c r="G20" s="43" t="s">
        <v>316</v>
      </c>
      <c r="H20" s="43"/>
      <c r="I20" s="43"/>
      <c r="J20" s="43"/>
      <c r="K20" s="43"/>
      <c r="L20" s="43"/>
      <c r="M20" s="43"/>
      <c r="N20" s="43"/>
    </row>
    <row r="21" spans="1:14" ht="48" customHeight="1" x14ac:dyDescent="0.3">
      <c r="A21" s="44" t="s">
        <v>813</v>
      </c>
      <c r="B21" s="44" t="s">
        <v>814</v>
      </c>
      <c r="C21" s="44" t="s">
        <v>765</v>
      </c>
      <c r="D21" s="44" t="s">
        <v>815</v>
      </c>
      <c r="E21" s="44" t="s">
        <v>765</v>
      </c>
      <c r="F21" s="44" t="s">
        <v>816</v>
      </c>
      <c r="G21" s="44" t="s">
        <v>726</v>
      </c>
      <c r="H21" s="44"/>
      <c r="I21" s="44"/>
      <c r="J21" s="44"/>
      <c r="K21" s="44"/>
      <c r="L21" s="44"/>
      <c r="M21" s="44"/>
      <c r="N21" s="44"/>
    </row>
    <row r="22" spans="1:14" ht="21.75" customHeight="1" x14ac:dyDescent="0.3">
      <c r="A22" s="60" t="s">
        <v>817</v>
      </c>
      <c r="B22" s="60"/>
      <c r="C22" s="60"/>
      <c r="D22" s="60"/>
      <c r="E22" s="60"/>
      <c r="F22" s="60"/>
      <c r="G22" s="60"/>
      <c r="H22" s="60"/>
      <c r="I22" s="60"/>
      <c r="J22" s="60"/>
      <c r="K22" s="60"/>
      <c r="L22" s="60"/>
      <c r="M22" s="60"/>
      <c r="N22" s="60"/>
    </row>
    <row r="23" spans="1:14" ht="48" customHeight="1" x14ac:dyDescent="0.3">
      <c r="A23" s="44" t="s">
        <v>818</v>
      </c>
      <c r="B23" s="44" t="s">
        <v>819</v>
      </c>
      <c r="C23" s="44" t="s">
        <v>758</v>
      </c>
      <c r="D23" s="44" t="s">
        <v>820</v>
      </c>
      <c r="E23" s="44" t="s">
        <v>821</v>
      </c>
      <c r="F23" s="44" t="s">
        <v>822</v>
      </c>
      <c r="G23" s="44" t="s">
        <v>726</v>
      </c>
      <c r="H23" s="44"/>
      <c r="I23" s="44"/>
      <c r="J23" s="44"/>
      <c r="K23" s="44"/>
      <c r="L23" s="44"/>
      <c r="M23" s="44"/>
      <c r="N23" s="44"/>
    </row>
    <row r="24" spans="1:14" ht="48" customHeight="1" x14ac:dyDescent="0.3">
      <c r="A24" s="43" t="s">
        <v>823</v>
      </c>
      <c r="B24" s="43" t="s">
        <v>824</v>
      </c>
      <c r="C24" s="43" t="s">
        <v>765</v>
      </c>
      <c r="D24" s="43" t="s">
        <v>825</v>
      </c>
      <c r="E24" s="43" t="s">
        <v>765</v>
      </c>
      <c r="F24" s="43" t="s">
        <v>826</v>
      </c>
      <c r="G24" s="43" t="s">
        <v>726</v>
      </c>
      <c r="H24" s="43"/>
      <c r="I24" s="43"/>
      <c r="J24" s="43"/>
      <c r="K24" s="43"/>
      <c r="L24" s="43"/>
      <c r="M24" s="43"/>
      <c r="N24" s="43"/>
    </row>
    <row r="25" spans="1:14" ht="21.75" customHeight="1" x14ac:dyDescent="0.3">
      <c r="A25" s="60" t="s">
        <v>827</v>
      </c>
      <c r="B25" s="60"/>
      <c r="C25" s="60"/>
      <c r="D25" s="60"/>
      <c r="E25" s="60"/>
      <c r="F25" s="60"/>
      <c r="G25" s="60"/>
      <c r="H25" s="60"/>
      <c r="I25" s="60"/>
      <c r="J25" s="60"/>
      <c r="K25" s="60"/>
      <c r="L25" s="60"/>
      <c r="M25" s="60"/>
      <c r="N25" s="60"/>
    </row>
    <row r="26" spans="1:14" ht="48" customHeight="1" x14ac:dyDescent="0.3">
      <c r="A26" s="43" t="s">
        <v>828</v>
      </c>
      <c r="B26" s="43" t="s">
        <v>829</v>
      </c>
      <c r="C26" s="43" t="s">
        <v>830</v>
      </c>
      <c r="D26" s="43" t="s">
        <v>831</v>
      </c>
      <c r="E26" s="43" t="s">
        <v>832</v>
      </c>
      <c r="F26" s="43" t="s">
        <v>833</v>
      </c>
      <c r="G26" s="43" t="s">
        <v>726</v>
      </c>
      <c r="H26" s="43"/>
      <c r="I26" s="43"/>
      <c r="J26" s="43"/>
      <c r="K26" s="43"/>
      <c r="L26" s="43"/>
      <c r="M26" s="43"/>
      <c r="N26" s="43"/>
    </row>
    <row r="27" spans="1:14" ht="48" customHeight="1" x14ac:dyDescent="0.3">
      <c r="A27" s="44" t="s">
        <v>834</v>
      </c>
      <c r="B27" s="44" t="s">
        <v>835</v>
      </c>
      <c r="C27" s="44" t="s">
        <v>836</v>
      </c>
      <c r="D27" s="44" t="s">
        <v>837</v>
      </c>
      <c r="E27" s="44" t="s">
        <v>838</v>
      </c>
      <c r="F27" s="44" t="s">
        <v>839</v>
      </c>
      <c r="G27" s="44" t="s">
        <v>726</v>
      </c>
      <c r="H27" s="44"/>
      <c r="I27" s="44"/>
      <c r="J27" s="44"/>
      <c r="K27" s="44"/>
      <c r="L27" s="44"/>
      <c r="M27" s="44"/>
      <c r="N27" s="44"/>
    </row>
    <row r="28" spans="1:14" ht="21.75" customHeight="1" x14ac:dyDescent="0.3">
      <c r="A28" s="60" t="s">
        <v>840</v>
      </c>
      <c r="B28" s="60"/>
      <c r="C28" s="60"/>
      <c r="D28" s="60"/>
      <c r="E28" s="60"/>
      <c r="F28" s="60"/>
      <c r="G28" s="60"/>
      <c r="H28" s="60"/>
      <c r="I28" s="60"/>
      <c r="J28" s="60"/>
      <c r="K28" s="60"/>
      <c r="L28" s="60"/>
      <c r="M28" s="60"/>
      <c r="N28" s="60"/>
    </row>
    <row r="29" spans="1:14" ht="48" customHeight="1" x14ac:dyDescent="0.3">
      <c r="A29" s="44" t="s">
        <v>841</v>
      </c>
      <c r="B29" s="44" t="s">
        <v>740</v>
      </c>
      <c r="C29" s="44" t="s">
        <v>787</v>
      </c>
      <c r="D29" s="44" t="s">
        <v>842</v>
      </c>
      <c r="E29" s="44" t="s">
        <v>843</v>
      </c>
      <c r="F29" s="44" t="s">
        <v>844</v>
      </c>
      <c r="G29" s="44" t="s">
        <v>726</v>
      </c>
      <c r="H29" s="44"/>
      <c r="I29" s="44"/>
      <c r="J29" s="44"/>
      <c r="K29" s="44"/>
      <c r="L29" s="44"/>
      <c r="M29" s="44"/>
      <c r="N29" s="44"/>
    </row>
    <row r="30" spans="1:14" ht="48" customHeight="1" x14ac:dyDescent="0.3">
      <c r="A30" s="43" t="s">
        <v>845</v>
      </c>
      <c r="B30" s="43" t="s">
        <v>777</v>
      </c>
      <c r="C30" s="43" t="s">
        <v>787</v>
      </c>
      <c r="D30" s="43" t="s">
        <v>846</v>
      </c>
      <c r="E30" s="43" t="s">
        <v>847</v>
      </c>
      <c r="F30" s="43" t="s">
        <v>848</v>
      </c>
      <c r="G30" s="43" t="s">
        <v>726</v>
      </c>
      <c r="H30" s="43"/>
      <c r="I30" s="43"/>
      <c r="J30" s="43"/>
      <c r="K30" s="43"/>
      <c r="L30" s="43"/>
      <c r="M30" s="43"/>
      <c r="N30" s="43"/>
    </row>
    <row r="31" spans="1:14" ht="21.75" customHeight="1" x14ac:dyDescent="0.3">
      <c r="A31" s="60" t="s">
        <v>849</v>
      </c>
      <c r="B31" s="60"/>
      <c r="C31" s="60"/>
      <c r="D31" s="60"/>
      <c r="E31" s="60"/>
      <c r="F31" s="60"/>
      <c r="G31" s="60"/>
      <c r="H31" s="60"/>
      <c r="I31" s="60"/>
      <c r="J31" s="60"/>
      <c r="K31" s="60"/>
      <c r="L31" s="60"/>
      <c r="M31" s="60"/>
      <c r="N31" s="60"/>
    </row>
    <row r="32" spans="1:14" ht="48" customHeight="1" x14ac:dyDescent="0.3">
      <c r="A32" s="43" t="s">
        <v>850</v>
      </c>
      <c r="B32" s="43" t="s">
        <v>814</v>
      </c>
      <c r="C32" s="43" t="s">
        <v>765</v>
      </c>
      <c r="D32" s="43" t="s">
        <v>851</v>
      </c>
      <c r="E32" s="43" t="s">
        <v>765</v>
      </c>
      <c r="F32" s="43" t="s">
        <v>852</v>
      </c>
      <c r="G32" s="43" t="s">
        <v>726</v>
      </c>
      <c r="H32" s="43"/>
      <c r="I32" s="43"/>
      <c r="J32" s="43"/>
      <c r="K32" s="43"/>
      <c r="L32" s="43"/>
      <c r="M32" s="43"/>
      <c r="N32" s="43"/>
    </row>
    <row r="33" spans="1:14" ht="48" customHeight="1" x14ac:dyDescent="0.3">
      <c r="A33" s="44" t="s">
        <v>853</v>
      </c>
      <c r="B33" s="44" t="s">
        <v>764</v>
      </c>
      <c r="C33" s="44" t="s">
        <v>758</v>
      </c>
      <c r="D33" s="44" t="s">
        <v>854</v>
      </c>
      <c r="E33" s="44" t="s">
        <v>855</v>
      </c>
      <c r="F33" s="44" t="s">
        <v>856</v>
      </c>
      <c r="G33" s="44" t="s">
        <v>726</v>
      </c>
      <c r="H33" s="44"/>
      <c r="I33" s="44"/>
      <c r="J33" s="44"/>
      <c r="K33" s="44"/>
      <c r="L33" s="44"/>
      <c r="M33" s="44"/>
      <c r="N33" s="44"/>
    </row>
    <row r="34" spans="1:14" ht="48" customHeight="1" x14ac:dyDescent="0.3">
      <c r="A34" s="43" t="s">
        <v>857</v>
      </c>
      <c r="B34" s="43" t="s">
        <v>858</v>
      </c>
      <c r="C34" s="43" t="s">
        <v>758</v>
      </c>
      <c r="D34" s="43" t="s">
        <v>859</v>
      </c>
      <c r="E34" s="43" t="s">
        <v>860</v>
      </c>
      <c r="F34" s="43" t="s">
        <v>861</v>
      </c>
      <c r="G34" s="43" t="s">
        <v>726</v>
      </c>
      <c r="H34" s="43"/>
      <c r="I34" s="43"/>
      <c r="J34" s="43"/>
      <c r="K34" s="43"/>
      <c r="L34" s="43"/>
      <c r="M34" s="43"/>
      <c r="N34" s="43"/>
    </row>
    <row r="35" spans="1:14" ht="48" customHeight="1" x14ac:dyDescent="0.3">
      <c r="A35" s="44" t="s">
        <v>862</v>
      </c>
      <c r="B35" s="44" t="s">
        <v>764</v>
      </c>
      <c r="C35" s="44" t="s">
        <v>758</v>
      </c>
      <c r="D35" s="44" t="s">
        <v>863</v>
      </c>
      <c r="E35" s="44" t="s">
        <v>864</v>
      </c>
      <c r="F35" s="44" t="s">
        <v>865</v>
      </c>
      <c r="G35" s="44" t="s">
        <v>726</v>
      </c>
      <c r="H35" s="44"/>
      <c r="I35" s="44"/>
      <c r="J35" s="44"/>
      <c r="K35" s="44"/>
      <c r="L35" s="44"/>
      <c r="M35" s="44"/>
      <c r="N35" s="44"/>
    </row>
    <row r="36" spans="1:14" ht="48" customHeight="1" x14ac:dyDescent="0.3">
      <c r="A36" s="43" t="s">
        <v>866</v>
      </c>
      <c r="B36" s="43" t="s">
        <v>777</v>
      </c>
      <c r="C36" s="43" t="s">
        <v>765</v>
      </c>
      <c r="D36" s="43" t="s">
        <v>867</v>
      </c>
      <c r="E36" s="43" t="s">
        <v>868</v>
      </c>
      <c r="F36" s="43" t="s">
        <v>869</v>
      </c>
      <c r="G36" s="43" t="s">
        <v>726</v>
      </c>
      <c r="H36" s="43"/>
      <c r="I36" s="43"/>
      <c r="J36" s="43"/>
      <c r="K36" s="43"/>
      <c r="L36" s="43"/>
      <c r="M36" s="43"/>
      <c r="N36" s="43"/>
    </row>
    <row r="37" spans="1:14" ht="48" customHeight="1" x14ac:dyDescent="0.3">
      <c r="A37" s="44" t="s">
        <v>870</v>
      </c>
      <c r="B37" s="44" t="s">
        <v>786</v>
      </c>
      <c r="C37" s="44" t="s">
        <v>787</v>
      </c>
      <c r="D37" s="44" t="s">
        <v>871</v>
      </c>
      <c r="E37" s="44" t="s">
        <v>872</v>
      </c>
      <c r="F37" s="44" t="s">
        <v>873</v>
      </c>
      <c r="G37" s="44" t="s">
        <v>726</v>
      </c>
      <c r="H37" s="44"/>
      <c r="I37" s="44"/>
      <c r="J37" s="44"/>
      <c r="K37" s="44"/>
      <c r="L37" s="44"/>
      <c r="M37" s="44"/>
      <c r="N37" s="44"/>
    </row>
    <row r="38" spans="1:14" ht="48" customHeight="1" x14ac:dyDescent="0.3">
      <c r="A38" s="43" t="s">
        <v>874</v>
      </c>
      <c r="B38" s="43" t="s">
        <v>792</v>
      </c>
      <c r="C38" s="43" t="s">
        <v>765</v>
      </c>
      <c r="D38" s="43" t="s">
        <v>875</v>
      </c>
      <c r="E38" s="43" t="s">
        <v>765</v>
      </c>
      <c r="F38" s="43" t="s">
        <v>876</v>
      </c>
      <c r="G38" s="43" t="s">
        <v>726</v>
      </c>
      <c r="H38" s="43"/>
      <c r="I38" s="43"/>
      <c r="J38" s="43"/>
      <c r="K38" s="43"/>
      <c r="L38" s="43"/>
      <c r="M38" s="43"/>
      <c r="N38" s="43"/>
    </row>
    <row r="39" spans="1:14" ht="48" customHeight="1" x14ac:dyDescent="0.3">
      <c r="A39" s="44" t="s">
        <v>877</v>
      </c>
      <c r="B39" s="44" t="s">
        <v>796</v>
      </c>
      <c r="C39" s="44" t="s">
        <v>797</v>
      </c>
      <c r="D39" s="44" t="s">
        <v>878</v>
      </c>
      <c r="E39" s="44" t="s">
        <v>879</v>
      </c>
      <c r="F39" s="44" t="s">
        <v>880</v>
      </c>
      <c r="G39" s="44" t="s">
        <v>801</v>
      </c>
      <c r="H39" s="44"/>
      <c r="I39" s="44"/>
      <c r="J39" s="44"/>
      <c r="K39" s="44"/>
      <c r="L39" s="44"/>
      <c r="M39" s="44"/>
      <c r="N39" s="44"/>
    </row>
    <row r="40" spans="1:14" ht="48" customHeight="1" x14ac:dyDescent="0.3">
      <c r="A40" s="43" t="s">
        <v>881</v>
      </c>
      <c r="B40" s="43" t="s">
        <v>814</v>
      </c>
      <c r="C40" s="43" t="s">
        <v>765</v>
      </c>
      <c r="D40" s="43" t="s">
        <v>882</v>
      </c>
      <c r="E40" s="43" t="s">
        <v>765</v>
      </c>
      <c r="F40" s="43" t="s">
        <v>883</v>
      </c>
      <c r="G40" s="43" t="s">
        <v>726</v>
      </c>
      <c r="H40" s="43"/>
      <c r="I40" s="43"/>
      <c r="J40" s="43"/>
      <c r="K40" s="43"/>
      <c r="L40" s="43"/>
      <c r="M40" s="43"/>
      <c r="N40" s="43"/>
    </row>
    <row r="41" spans="1:14" ht="48" customHeight="1" x14ac:dyDescent="0.3">
      <c r="A41" s="44" t="s">
        <v>884</v>
      </c>
      <c r="B41" s="44" t="s">
        <v>814</v>
      </c>
      <c r="C41" s="44" t="s">
        <v>765</v>
      </c>
      <c r="D41" s="44" t="s">
        <v>885</v>
      </c>
      <c r="E41" s="44" t="s">
        <v>765</v>
      </c>
      <c r="F41" s="44" t="s">
        <v>886</v>
      </c>
      <c r="G41" s="44" t="s">
        <v>726</v>
      </c>
      <c r="H41" s="44"/>
      <c r="I41" s="44"/>
      <c r="J41" s="44"/>
      <c r="K41" s="44"/>
      <c r="L41" s="44"/>
      <c r="M41" s="44"/>
      <c r="N41" s="44"/>
    </row>
    <row r="42" spans="1:14" ht="48" customHeight="1" x14ac:dyDescent="0.3">
      <c r="A42" s="43" t="s">
        <v>887</v>
      </c>
      <c r="B42" s="43" t="s">
        <v>888</v>
      </c>
      <c r="C42" s="43" t="s">
        <v>804</v>
      </c>
      <c r="D42" s="43" t="s">
        <v>889</v>
      </c>
      <c r="E42" s="43" t="s">
        <v>890</v>
      </c>
      <c r="F42" s="43" t="s">
        <v>891</v>
      </c>
      <c r="G42" s="43" t="s">
        <v>892</v>
      </c>
      <c r="H42" s="43"/>
      <c r="I42" s="43"/>
      <c r="J42" s="43"/>
      <c r="K42" s="43"/>
      <c r="L42" s="43"/>
      <c r="M42" s="43"/>
      <c r="N42" s="43"/>
    </row>
    <row r="43" spans="1:14" ht="48" customHeight="1" x14ac:dyDescent="0.3">
      <c r="A43" s="44" t="s">
        <v>893</v>
      </c>
      <c r="B43" s="44" t="s">
        <v>894</v>
      </c>
      <c r="C43" s="44" t="s">
        <v>895</v>
      </c>
      <c r="D43" s="44" t="s">
        <v>896</v>
      </c>
      <c r="E43" s="44" t="s">
        <v>897</v>
      </c>
      <c r="F43" s="44" t="s">
        <v>898</v>
      </c>
      <c r="G43" s="44" t="s">
        <v>726</v>
      </c>
      <c r="H43" s="44"/>
      <c r="I43" s="44"/>
      <c r="J43" s="44"/>
      <c r="K43" s="44"/>
      <c r="L43" s="44"/>
      <c r="M43" s="44"/>
      <c r="N43" s="44"/>
    </row>
    <row r="44" spans="1:14" ht="48" customHeight="1" x14ac:dyDescent="0.3">
      <c r="A44" s="43" t="s">
        <v>899</v>
      </c>
      <c r="B44" s="43" t="s">
        <v>900</v>
      </c>
      <c r="C44" s="43" t="s">
        <v>758</v>
      </c>
      <c r="D44" s="43" t="s">
        <v>901</v>
      </c>
      <c r="E44" s="43" t="s">
        <v>902</v>
      </c>
      <c r="F44" s="43" t="s">
        <v>903</v>
      </c>
      <c r="G44" s="43" t="s">
        <v>726</v>
      </c>
      <c r="H44" s="43"/>
      <c r="I44" s="43"/>
      <c r="J44" s="43"/>
      <c r="K44" s="43"/>
      <c r="L44" s="43"/>
      <c r="M44" s="43"/>
      <c r="N44" s="43"/>
    </row>
    <row r="45" spans="1:14" ht="48" customHeight="1" x14ac:dyDescent="0.3">
      <c r="A45" s="44" t="s">
        <v>904</v>
      </c>
      <c r="B45" s="44" t="s">
        <v>764</v>
      </c>
      <c r="C45" s="44" t="s">
        <v>758</v>
      </c>
      <c r="D45" s="44" t="s">
        <v>905</v>
      </c>
      <c r="E45" s="44" t="s">
        <v>906</v>
      </c>
      <c r="F45" s="44" t="s">
        <v>907</v>
      </c>
      <c r="G45" s="44" t="s">
        <v>726</v>
      </c>
      <c r="H45" s="44"/>
      <c r="I45" s="44"/>
      <c r="J45" s="44"/>
      <c r="K45" s="44"/>
      <c r="L45" s="44"/>
      <c r="M45" s="44"/>
      <c r="N45" s="44"/>
    </row>
    <row r="46" spans="1:14" ht="48" customHeight="1" x14ac:dyDescent="0.3">
      <c r="A46" s="43" t="s">
        <v>908</v>
      </c>
      <c r="B46" s="43" t="s">
        <v>909</v>
      </c>
      <c r="C46" s="43" t="s">
        <v>758</v>
      </c>
      <c r="D46" s="43" t="s">
        <v>910</v>
      </c>
      <c r="E46" s="43" t="s">
        <v>911</v>
      </c>
      <c r="F46" s="43" t="s">
        <v>912</v>
      </c>
      <c r="G46" s="43" t="s">
        <v>726</v>
      </c>
      <c r="H46" s="43"/>
      <c r="I46" s="43"/>
      <c r="J46" s="43"/>
      <c r="K46" s="43"/>
      <c r="L46" s="43"/>
      <c r="M46" s="43"/>
      <c r="N46" s="43"/>
    </row>
    <row r="47" spans="1:14" ht="48" customHeight="1" x14ac:dyDescent="0.3">
      <c r="A47" s="44" t="s">
        <v>913</v>
      </c>
      <c r="B47" s="44" t="s">
        <v>914</v>
      </c>
      <c r="C47" s="44" t="s">
        <v>758</v>
      </c>
      <c r="D47" s="44" t="s">
        <v>915</v>
      </c>
      <c r="E47" s="44" t="s">
        <v>916</v>
      </c>
      <c r="F47" s="44" t="s">
        <v>917</v>
      </c>
      <c r="G47" s="44" t="s">
        <v>726</v>
      </c>
      <c r="H47" s="44"/>
      <c r="I47" s="44"/>
      <c r="J47" s="44"/>
      <c r="K47" s="44"/>
      <c r="L47" s="44"/>
      <c r="M47" s="44"/>
      <c r="N47" s="44"/>
    </row>
    <row r="48" spans="1:14" ht="48" customHeight="1" x14ac:dyDescent="0.3">
      <c r="A48" s="43" t="s">
        <v>918</v>
      </c>
      <c r="B48" s="43" t="s">
        <v>786</v>
      </c>
      <c r="C48" s="43" t="s">
        <v>787</v>
      </c>
      <c r="D48" s="43" t="s">
        <v>919</v>
      </c>
      <c r="E48" s="43" t="s">
        <v>920</v>
      </c>
      <c r="F48" s="43" t="s">
        <v>921</v>
      </c>
      <c r="G48" s="43" t="s">
        <v>726</v>
      </c>
      <c r="H48" s="43"/>
      <c r="I48" s="43"/>
      <c r="J48" s="43"/>
      <c r="K48" s="43"/>
      <c r="L48" s="43"/>
      <c r="M48" s="43"/>
      <c r="N48" s="43"/>
    </row>
    <row r="49" spans="1:14" ht="48" customHeight="1" x14ac:dyDescent="0.3">
      <c r="A49" s="44" t="s">
        <v>922</v>
      </c>
      <c r="B49" s="44" t="s">
        <v>923</v>
      </c>
      <c r="C49" s="44" t="s">
        <v>797</v>
      </c>
      <c r="D49" s="44" t="s">
        <v>924</v>
      </c>
      <c r="E49" s="44" t="s">
        <v>925</v>
      </c>
      <c r="F49" s="44" t="s">
        <v>926</v>
      </c>
      <c r="G49" s="44" t="s">
        <v>726</v>
      </c>
      <c r="H49" s="44"/>
      <c r="I49" s="44"/>
      <c r="J49" s="44"/>
      <c r="K49" s="44"/>
      <c r="L49" s="44"/>
      <c r="M49" s="44"/>
      <c r="N49" s="44"/>
    </row>
    <row r="50" spans="1:14" ht="48" customHeight="1" x14ac:dyDescent="0.3">
      <c r="A50" s="43" t="s">
        <v>927</v>
      </c>
      <c r="B50" s="43" t="s">
        <v>814</v>
      </c>
      <c r="C50" s="43" t="s">
        <v>765</v>
      </c>
      <c r="D50" s="43" t="s">
        <v>928</v>
      </c>
      <c r="E50" s="43" t="s">
        <v>765</v>
      </c>
      <c r="F50" s="43" t="s">
        <v>929</v>
      </c>
      <c r="G50" s="43" t="s">
        <v>726</v>
      </c>
      <c r="H50" s="43"/>
      <c r="I50" s="43"/>
      <c r="J50" s="43"/>
      <c r="K50" s="43"/>
      <c r="L50" s="43"/>
      <c r="M50" s="43"/>
      <c r="N50" s="43"/>
    </row>
    <row r="51" spans="1:14" ht="48" customHeight="1" x14ac:dyDescent="0.3">
      <c r="A51" s="44" t="s">
        <v>930</v>
      </c>
      <c r="B51" s="44" t="s">
        <v>792</v>
      </c>
      <c r="C51" s="44" t="s">
        <v>765</v>
      </c>
      <c r="D51" s="44" t="s">
        <v>931</v>
      </c>
      <c r="E51" s="44" t="s">
        <v>765</v>
      </c>
      <c r="F51" s="44" t="s">
        <v>932</v>
      </c>
      <c r="G51" s="44" t="s">
        <v>726</v>
      </c>
      <c r="H51" s="44"/>
      <c r="I51" s="44"/>
      <c r="J51" s="44"/>
      <c r="K51" s="44"/>
      <c r="L51" s="44"/>
      <c r="M51" s="44"/>
      <c r="N51" s="44"/>
    </row>
    <row r="52" spans="1:14" ht="21.75" customHeight="1" x14ac:dyDescent="0.3">
      <c r="A52" s="60" t="s">
        <v>933</v>
      </c>
      <c r="B52" s="60"/>
      <c r="C52" s="60"/>
      <c r="D52" s="60"/>
      <c r="E52" s="60"/>
      <c r="F52" s="60"/>
      <c r="G52" s="60"/>
      <c r="H52" s="60"/>
      <c r="I52" s="60"/>
      <c r="J52" s="60"/>
      <c r="K52" s="60"/>
      <c r="L52" s="60"/>
      <c r="M52" s="60"/>
      <c r="N52" s="60"/>
    </row>
    <row r="53" spans="1:14" ht="48" customHeight="1" x14ac:dyDescent="0.3">
      <c r="A53" s="44" t="s">
        <v>934</v>
      </c>
      <c r="B53" s="44" t="s">
        <v>814</v>
      </c>
      <c r="C53" s="44" t="s">
        <v>765</v>
      </c>
      <c r="D53" s="44" t="s">
        <v>935</v>
      </c>
      <c r="E53" s="44" t="s">
        <v>765</v>
      </c>
      <c r="F53" s="44" t="s">
        <v>936</v>
      </c>
      <c r="G53" s="44" t="s">
        <v>726</v>
      </c>
      <c r="H53" s="44"/>
      <c r="I53" s="44"/>
      <c r="J53" s="44"/>
      <c r="K53" s="44"/>
      <c r="L53" s="44"/>
      <c r="M53" s="44"/>
      <c r="N53" s="44"/>
    </row>
    <row r="54" spans="1:14" ht="48" customHeight="1" x14ac:dyDescent="0.3">
      <c r="A54" s="43" t="s">
        <v>937</v>
      </c>
      <c r="B54" s="43" t="s">
        <v>814</v>
      </c>
      <c r="C54" s="43" t="s">
        <v>765</v>
      </c>
      <c r="D54" s="43" t="s">
        <v>938</v>
      </c>
      <c r="E54" s="43" t="s">
        <v>765</v>
      </c>
      <c r="F54" s="43" t="s">
        <v>939</v>
      </c>
      <c r="G54" s="43" t="s">
        <v>726</v>
      </c>
      <c r="H54" s="43"/>
      <c r="I54" s="43"/>
      <c r="J54" s="43"/>
      <c r="K54" s="43"/>
      <c r="L54" s="43"/>
      <c r="M54" s="43"/>
      <c r="N54" s="43"/>
    </row>
    <row r="55" spans="1:14" ht="48" customHeight="1" x14ac:dyDescent="0.3">
      <c r="A55" s="44" t="s">
        <v>940</v>
      </c>
      <c r="B55" s="44" t="s">
        <v>786</v>
      </c>
      <c r="C55" s="44" t="s">
        <v>787</v>
      </c>
      <c r="D55" s="44" t="s">
        <v>941</v>
      </c>
      <c r="E55" s="44" t="s">
        <v>942</v>
      </c>
      <c r="F55" s="44" t="s">
        <v>943</v>
      </c>
      <c r="G55" s="44" t="s">
        <v>726</v>
      </c>
      <c r="H55" s="44"/>
      <c r="I55" s="44"/>
      <c r="J55" s="44"/>
      <c r="K55" s="44"/>
      <c r="L55" s="44"/>
      <c r="M55" s="44"/>
      <c r="N55" s="44"/>
    </row>
    <row r="56" spans="1:14" ht="48" customHeight="1" x14ac:dyDescent="0.3">
      <c r="A56" s="43" t="s">
        <v>944</v>
      </c>
      <c r="B56" s="43" t="s">
        <v>796</v>
      </c>
      <c r="C56" s="43" t="s">
        <v>797</v>
      </c>
      <c r="D56" s="43" t="s">
        <v>945</v>
      </c>
      <c r="E56" s="43" t="s">
        <v>946</v>
      </c>
      <c r="F56" s="43" t="s">
        <v>947</v>
      </c>
      <c r="G56" s="43" t="s">
        <v>948</v>
      </c>
      <c r="H56" s="43"/>
      <c r="I56" s="43"/>
      <c r="J56" s="43"/>
      <c r="K56" s="43"/>
      <c r="L56" s="43"/>
      <c r="M56" s="43"/>
      <c r="N56" s="43"/>
    </row>
    <row r="57" spans="1:14" ht="48" customHeight="1" x14ac:dyDescent="0.3">
      <c r="A57" s="44" t="s">
        <v>949</v>
      </c>
      <c r="B57" s="44" t="s">
        <v>894</v>
      </c>
      <c r="C57" s="44" t="s">
        <v>758</v>
      </c>
      <c r="D57" s="44" t="s">
        <v>950</v>
      </c>
      <c r="E57" s="44" t="s">
        <v>897</v>
      </c>
      <c r="F57" s="44" t="s">
        <v>951</v>
      </c>
      <c r="G57" s="44" t="s">
        <v>726</v>
      </c>
      <c r="H57" s="44"/>
      <c r="I57" s="44"/>
      <c r="J57" s="44"/>
      <c r="K57" s="44"/>
      <c r="L57" s="44"/>
      <c r="M57" s="44"/>
      <c r="N57" s="44"/>
    </row>
    <row r="58" spans="1:14" ht="48" customHeight="1" x14ac:dyDescent="0.3">
      <c r="A58" s="43" t="s">
        <v>952</v>
      </c>
      <c r="B58" s="43" t="s">
        <v>803</v>
      </c>
      <c r="C58" s="43" t="s">
        <v>804</v>
      </c>
      <c r="D58" s="43" t="s">
        <v>953</v>
      </c>
      <c r="E58" s="43" t="s">
        <v>954</v>
      </c>
      <c r="F58" s="43" t="s">
        <v>955</v>
      </c>
      <c r="G58" s="43" t="s">
        <v>892</v>
      </c>
      <c r="H58" s="43"/>
      <c r="I58" s="43"/>
      <c r="J58" s="43"/>
      <c r="K58" s="43"/>
      <c r="L58" s="43"/>
      <c r="M58" s="43"/>
      <c r="N58" s="43"/>
    </row>
    <row r="59" spans="1:14" ht="48" customHeight="1" x14ac:dyDescent="0.3">
      <c r="A59" s="44" t="s">
        <v>956</v>
      </c>
      <c r="B59" s="44" t="s">
        <v>764</v>
      </c>
      <c r="C59" s="44" t="s">
        <v>758</v>
      </c>
      <c r="D59" s="44" t="s">
        <v>957</v>
      </c>
      <c r="E59" s="44" t="s">
        <v>958</v>
      </c>
      <c r="F59" s="44" t="s">
        <v>959</v>
      </c>
      <c r="G59" s="44" t="s">
        <v>726</v>
      </c>
      <c r="H59" s="44"/>
      <c r="I59" s="44"/>
      <c r="J59" s="44"/>
      <c r="K59" s="44"/>
      <c r="L59" s="44"/>
      <c r="M59" s="44"/>
      <c r="N59" s="44"/>
    </row>
    <row r="60" spans="1:14" ht="48" customHeight="1" x14ac:dyDescent="0.3">
      <c r="A60" s="43" t="s">
        <v>960</v>
      </c>
      <c r="B60" s="43" t="s">
        <v>777</v>
      </c>
      <c r="C60" s="43" t="s">
        <v>758</v>
      </c>
      <c r="D60" s="43" t="s">
        <v>961</v>
      </c>
      <c r="E60" s="43" t="s">
        <v>962</v>
      </c>
      <c r="F60" s="43" t="s">
        <v>963</v>
      </c>
      <c r="G60" s="43" t="s">
        <v>726</v>
      </c>
      <c r="H60" s="43"/>
      <c r="I60" s="43"/>
      <c r="J60" s="43"/>
      <c r="K60" s="43"/>
      <c r="L60" s="43"/>
      <c r="M60" s="43"/>
      <c r="N60" s="43"/>
    </row>
    <row r="61" spans="1:14" ht="48" customHeight="1" x14ac:dyDescent="0.3">
      <c r="A61" s="44" t="s">
        <v>964</v>
      </c>
      <c r="B61" s="44" t="s">
        <v>721</v>
      </c>
      <c r="C61" s="44" t="s">
        <v>758</v>
      </c>
      <c r="D61" s="44" t="s">
        <v>965</v>
      </c>
      <c r="E61" s="44" t="s">
        <v>966</v>
      </c>
      <c r="F61" s="44" t="s">
        <v>967</v>
      </c>
      <c r="G61" s="44" t="s">
        <v>726</v>
      </c>
      <c r="H61" s="44"/>
      <c r="I61" s="44"/>
      <c r="J61" s="44"/>
      <c r="K61" s="44"/>
      <c r="L61" s="44"/>
      <c r="M61" s="44"/>
      <c r="N61" s="44"/>
    </row>
    <row r="62" spans="1:14" ht="48" customHeight="1" x14ac:dyDescent="0.3">
      <c r="A62" s="43" t="s">
        <v>968</v>
      </c>
      <c r="B62" s="43" t="s">
        <v>764</v>
      </c>
      <c r="C62" s="43" t="s">
        <v>765</v>
      </c>
      <c r="D62" s="43" t="s">
        <v>969</v>
      </c>
      <c r="E62" s="43" t="s">
        <v>765</v>
      </c>
      <c r="F62" s="43" t="s">
        <v>970</v>
      </c>
      <c r="G62" s="43" t="s">
        <v>726</v>
      </c>
      <c r="H62" s="43"/>
      <c r="I62" s="43"/>
      <c r="J62" s="43"/>
      <c r="K62" s="43"/>
      <c r="L62" s="43"/>
      <c r="M62" s="43"/>
      <c r="N62" s="43"/>
    </row>
    <row r="63" spans="1:14" ht="48" customHeight="1" x14ac:dyDescent="0.3">
      <c r="A63" s="44" t="s">
        <v>971</v>
      </c>
      <c r="B63" s="44" t="s">
        <v>972</v>
      </c>
      <c r="C63" s="44" t="s">
        <v>758</v>
      </c>
      <c r="D63" s="44" t="s">
        <v>973</v>
      </c>
      <c r="E63" s="44" t="s">
        <v>974</v>
      </c>
      <c r="F63" s="44" t="s">
        <v>975</v>
      </c>
      <c r="G63" s="44" t="s">
        <v>726</v>
      </c>
      <c r="H63" s="44"/>
      <c r="I63" s="44"/>
      <c r="J63" s="44"/>
      <c r="K63" s="44"/>
      <c r="L63" s="44"/>
      <c r="M63" s="44"/>
      <c r="N63" s="44"/>
    </row>
    <row r="64" spans="1:14" ht="48" customHeight="1" x14ac:dyDescent="0.3">
      <c r="A64" s="43" t="s">
        <v>976</v>
      </c>
      <c r="B64" s="43" t="s">
        <v>786</v>
      </c>
      <c r="C64" s="43" t="s">
        <v>787</v>
      </c>
      <c r="D64" s="43" t="s">
        <v>977</v>
      </c>
      <c r="E64" s="43" t="s">
        <v>978</v>
      </c>
      <c r="F64" s="43" t="s">
        <v>979</v>
      </c>
      <c r="G64" s="43" t="s">
        <v>726</v>
      </c>
      <c r="H64" s="43"/>
      <c r="I64" s="43"/>
      <c r="J64" s="43"/>
      <c r="K64" s="43"/>
      <c r="L64" s="43"/>
      <c r="M64" s="43"/>
      <c r="N64" s="43"/>
    </row>
    <row r="65" spans="1:14" ht="48" customHeight="1" x14ac:dyDescent="0.3">
      <c r="A65" s="44" t="s">
        <v>980</v>
      </c>
      <c r="B65" s="44" t="s">
        <v>792</v>
      </c>
      <c r="C65" s="44" t="s">
        <v>765</v>
      </c>
      <c r="D65" s="44" t="s">
        <v>981</v>
      </c>
      <c r="E65" s="44" t="s">
        <v>765</v>
      </c>
      <c r="F65" s="44" t="s">
        <v>982</v>
      </c>
      <c r="G65" s="44" t="s">
        <v>726</v>
      </c>
      <c r="H65" s="44"/>
      <c r="I65" s="44"/>
      <c r="J65" s="44"/>
      <c r="K65" s="44"/>
      <c r="L65" s="44"/>
      <c r="M65" s="44"/>
      <c r="N65" s="44"/>
    </row>
    <row r="66" spans="1:14" ht="48" customHeight="1" x14ac:dyDescent="0.3">
      <c r="A66" s="43" t="s">
        <v>983</v>
      </c>
      <c r="B66" s="43" t="s">
        <v>923</v>
      </c>
      <c r="C66" s="43" t="s">
        <v>797</v>
      </c>
      <c r="D66" s="43" t="s">
        <v>984</v>
      </c>
      <c r="E66" s="43" t="s">
        <v>985</v>
      </c>
      <c r="F66" s="43" t="s">
        <v>986</v>
      </c>
      <c r="G66" s="43" t="s">
        <v>726</v>
      </c>
      <c r="H66" s="43"/>
      <c r="I66" s="43"/>
      <c r="J66" s="43"/>
      <c r="K66" s="43"/>
      <c r="L66" s="43"/>
      <c r="M66" s="43"/>
      <c r="N66" s="43"/>
    </row>
    <row r="67" spans="1:14" ht="48" customHeight="1" x14ac:dyDescent="0.3">
      <c r="A67" s="44" t="s">
        <v>987</v>
      </c>
      <c r="B67" s="44" t="s">
        <v>751</v>
      </c>
      <c r="C67" s="44" t="s">
        <v>758</v>
      </c>
      <c r="D67" s="44" t="s">
        <v>988</v>
      </c>
      <c r="E67" s="44" t="s">
        <v>989</v>
      </c>
      <c r="F67" s="44" t="s">
        <v>990</v>
      </c>
      <c r="G67" s="44" t="s">
        <v>726</v>
      </c>
      <c r="H67" s="44"/>
      <c r="I67" s="44"/>
      <c r="J67" s="44"/>
      <c r="K67" s="44"/>
      <c r="L67" s="44"/>
      <c r="M67" s="44"/>
      <c r="N67" s="44"/>
    </row>
    <row r="68" spans="1:14" ht="48" customHeight="1" x14ac:dyDescent="0.3">
      <c r="A68" s="43" t="s">
        <v>991</v>
      </c>
      <c r="B68" s="43" t="s">
        <v>764</v>
      </c>
      <c r="C68" s="43" t="s">
        <v>765</v>
      </c>
      <c r="D68" s="43" t="s">
        <v>992</v>
      </c>
      <c r="E68" s="43" t="s">
        <v>765</v>
      </c>
      <c r="F68" s="43" t="s">
        <v>993</v>
      </c>
      <c r="G68" s="43" t="s">
        <v>726</v>
      </c>
      <c r="H68" s="43"/>
      <c r="I68" s="43"/>
      <c r="J68" s="43"/>
      <c r="K68" s="43"/>
      <c r="L68" s="43"/>
      <c r="M68" s="43"/>
      <c r="N68" s="43"/>
    </row>
    <row r="69" spans="1:14" ht="48" customHeight="1" x14ac:dyDescent="0.3">
      <c r="A69" s="44" t="s">
        <v>994</v>
      </c>
      <c r="B69" s="44" t="s">
        <v>814</v>
      </c>
      <c r="C69" s="44" t="s">
        <v>765</v>
      </c>
      <c r="D69" s="44" t="s">
        <v>995</v>
      </c>
      <c r="E69" s="44" t="s">
        <v>765</v>
      </c>
      <c r="F69" s="44" t="s">
        <v>996</v>
      </c>
      <c r="G69" s="44" t="s">
        <v>726</v>
      </c>
      <c r="H69" s="44"/>
      <c r="I69" s="44"/>
      <c r="J69" s="44"/>
      <c r="K69" s="44"/>
      <c r="L69" s="44"/>
      <c r="M69" s="44"/>
      <c r="N69" s="44"/>
    </row>
    <row r="70" spans="1:14" ht="48" customHeight="1" x14ac:dyDescent="0.3">
      <c r="A70" s="43" t="s">
        <v>997</v>
      </c>
      <c r="B70" s="43" t="s">
        <v>740</v>
      </c>
      <c r="C70" s="43" t="s">
        <v>787</v>
      </c>
      <c r="D70" s="43" t="s">
        <v>998</v>
      </c>
      <c r="E70" s="43" t="s">
        <v>999</v>
      </c>
      <c r="F70" s="43" t="s">
        <v>1000</v>
      </c>
      <c r="G70" s="43" t="s">
        <v>726</v>
      </c>
      <c r="H70" s="43"/>
      <c r="I70" s="43"/>
      <c r="J70" s="43"/>
      <c r="K70" s="43"/>
      <c r="L70" s="43"/>
      <c r="M70" s="43"/>
      <c r="N70" s="43"/>
    </row>
    <row r="71" spans="1:14" ht="48" customHeight="1" x14ac:dyDescent="0.3">
      <c r="A71" s="44" t="s">
        <v>1001</v>
      </c>
      <c r="B71" s="44" t="s">
        <v>777</v>
      </c>
      <c r="C71" s="44" t="s">
        <v>758</v>
      </c>
      <c r="D71" s="44" t="s">
        <v>1002</v>
      </c>
      <c r="E71" s="44" t="s">
        <v>1003</v>
      </c>
      <c r="F71" s="44" t="s">
        <v>1004</v>
      </c>
      <c r="G71" s="44" t="s">
        <v>726</v>
      </c>
      <c r="H71" s="44"/>
      <c r="I71" s="44"/>
      <c r="J71" s="44"/>
      <c r="K71" s="44"/>
      <c r="L71" s="44"/>
      <c r="M71" s="44"/>
      <c r="N71" s="44"/>
    </row>
    <row r="72" spans="1:14" ht="48" customHeight="1" x14ac:dyDescent="0.3">
      <c r="A72" s="43" t="s">
        <v>1005</v>
      </c>
      <c r="B72" s="43" t="s">
        <v>792</v>
      </c>
      <c r="C72" s="43" t="s">
        <v>765</v>
      </c>
      <c r="D72" s="43" t="s">
        <v>1006</v>
      </c>
      <c r="E72" s="43" t="s">
        <v>765</v>
      </c>
      <c r="F72" s="43" t="s">
        <v>1007</v>
      </c>
      <c r="G72" s="43" t="s">
        <v>726</v>
      </c>
      <c r="H72" s="43"/>
      <c r="I72" s="43"/>
      <c r="J72" s="43"/>
      <c r="K72" s="43"/>
      <c r="L72" s="43"/>
      <c r="M72" s="43"/>
      <c r="N72" s="43"/>
    </row>
    <row r="73" spans="1:14" ht="48" customHeight="1" x14ac:dyDescent="0.3">
      <c r="A73" s="44" t="s">
        <v>1008</v>
      </c>
      <c r="B73" s="44" t="s">
        <v>803</v>
      </c>
      <c r="C73" s="44" t="s">
        <v>804</v>
      </c>
      <c r="D73" s="44" t="s">
        <v>1009</v>
      </c>
      <c r="E73" s="44" t="s">
        <v>1010</v>
      </c>
      <c r="F73" s="44" t="s">
        <v>1011</v>
      </c>
      <c r="G73" s="44" t="s">
        <v>726</v>
      </c>
      <c r="H73" s="44"/>
      <c r="I73" s="44"/>
      <c r="J73" s="44"/>
      <c r="K73" s="44"/>
      <c r="L73" s="44"/>
      <c r="M73" s="44"/>
      <c r="N73" s="44"/>
    </row>
    <row r="74" spans="1:14" ht="48" customHeight="1" x14ac:dyDescent="0.3">
      <c r="A74" s="43" t="s">
        <v>1012</v>
      </c>
      <c r="B74" s="43" t="s">
        <v>972</v>
      </c>
      <c r="C74" s="43" t="s">
        <v>758</v>
      </c>
      <c r="D74" s="43" t="s">
        <v>1013</v>
      </c>
      <c r="E74" s="43" t="s">
        <v>1014</v>
      </c>
      <c r="F74" s="43" t="s">
        <v>1015</v>
      </c>
      <c r="G74" s="43" t="s">
        <v>726</v>
      </c>
      <c r="H74" s="43"/>
      <c r="I74" s="43"/>
      <c r="J74" s="43"/>
      <c r="K74" s="43"/>
      <c r="L74" s="43"/>
      <c r="M74" s="43"/>
      <c r="N74" s="43"/>
    </row>
    <row r="75" spans="1:14" ht="48" customHeight="1" x14ac:dyDescent="0.3">
      <c r="A75" s="44" t="s">
        <v>1016</v>
      </c>
      <c r="B75" s="44" t="s">
        <v>894</v>
      </c>
      <c r="C75" s="44" t="s">
        <v>758</v>
      </c>
      <c r="D75" s="44" t="s">
        <v>1017</v>
      </c>
      <c r="E75" s="44" t="s">
        <v>1018</v>
      </c>
      <c r="F75" s="44" t="s">
        <v>1019</v>
      </c>
      <c r="G75" s="44" t="s">
        <v>726</v>
      </c>
      <c r="H75" s="44"/>
      <c r="I75" s="44"/>
      <c r="J75" s="44"/>
      <c r="K75" s="44"/>
      <c r="L75" s="44"/>
      <c r="M75" s="44"/>
      <c r="N75" s="44"/>
    </row>
    <row r="76" spans="1:14" ht="48" customHeight="1" x14ac:dyDescent="0.3">
      <c r="A76" s="43" t="s">
        <v>1020</v>
      </c>
      <c r="B76" s="43" t="s">
        <v>764</v>
      </c>
      <c r="C76" s="43" t="s">
        <v>765</v>
      </c>
      <c r="D76" s="43" t="s">
        <v>1021</v>
      </c>
      <c r="E76" s="43" t="s">
        <v>765</v>
      </c>
      <c r="F76" s="43" t="s">
        <v>1022</v>
      </c>
      <c r="G76" s="43" t="s">
        <v>726</v>
      </c>
      <c r="H76" s="43"/>
      <c r="I76" s="43"/>
      <c r="J76" s="43"/>
      <c r="K76" s="43"/>
      <c r="L76" s="43"/>
      <c r="M76" s="43"/>
      <c r="N76" s="43"/>
    </row>
    <row r="77" spans="1:14" ht="48" customHeight="1" x14ac:dyDescent="0.3">
      <c r="A77" s="44" t="s">
        <v>1023</v>
      </c>
      <c r="B77" s="44" t="s">
        <v>814</v>
      </c>
      <c r="C77" s="44" t="s">
        <v>765</v>
      </c>
      <c r="D77" s="44" t="s">
        <v>1024</v>
      </c>
      <c r="E77" s="44" t="s">
        <v>765</v>
      </c>
      <c r="F77" s="44" t="s">
        <v>1025</v>
      </c>
      <c r="G77" s="44" t="s">
        <v>726</v>
      </c>
      <c r="H77" s="44"/>
      <c r="I77" s="44"/>
      <c r="J77" s="44"/>
      <c r="K77" s="44"/>
      <c r="L77" s="44"/>
      <c r="M77" s="44"/>
      <c r="N77" s="44"/>
    </row>
    <row r="78" spans="1:14" ht="21.75" customHeight="1" x14ac:dyDescent="0.3">
      <c r="A78" s="60" t="s">
        <v>1026</v>
      </c>
      <c r="B78" s="60"/>
      <c r="C78" s="60"/>
      <c r="D78" s="60"/>
      <c r="E78" s="60"/>
      <c r="F78" s="60"/>
      <c r="G78" s="60"/>
      <c r="H78" s="60"/>
      <c r="I78" s="60"/>
      <c r="J78" s="60"/>
      <c r="K78" s="60"/>
      <c r="L78" s="60"/>
      <c r="M78" s="60"/>
      <c r="N78" s="60"/>
    </row>
    <row r="79" spans="1:14" ht="48" customHeight="1" x14ac:dyDescent="0.3">
      <c r="A79" s="44" t="s">
        <v>1027</v>
      </c>
      <c r="B79" s="44" t="s">
        <v>721</v>
      </c>
      <c r="C79" s="44" t="s">
        <v>758</v>
      </c>
      <c r="D79" s="44" t="s">
        <v>1028</v>
      </c>
      <c r="E79" s="44" t="s">
        <v>1029</v>
      </c>
      <c r="F79" s="44" t="s">
        <v>1030</v>
      </c>
      <c r="G79" s="44" t="s">
        <v>726</v>
      </c>
      <c r="H79" s="44"/>
      <c r="I79" s="44"/>
      <c r="J79" s="44"/>
      <c r="K79" s="44"/>
      <c r="L79" s="44"/>
      <c r="M79" s="44"/>
      <c r="N79" s="44"/>
    </row>
    <row r="80" spans="1:14" ht="48" customHeight="1" x14ac:dyDescent="0.3">
      <c r="A80" s="43" t="s">
        <v>1031</v>
      </c>
      <c r="B80" s="43" t="s">
        <v>972</v>
      </c>
      <c r="C80" s="43" t="s">
        <v>758</v>
      </c>
      <c r="D80" s="43" t="s">
        <v>1032</v>
      </c>
      <c r="E80" s="43" t="s">
        <v>1033</v>
      </c>
      <c r="F80" s="43" t="s">
        <v>1034</v>
      </c>
      <c r="G80" s="43" t="s">
        <v>726</v>
      </c>
      <c r="H80" s="43"/>
      <c r="I80" s="43"/>
      <c r="J80" s="43"/>
      <c r="K80" s="43"/>
      <c r="L80" s="43"/>
      <c r="M80" s="43"/>
      <c r="N80" s="43"/>
    </row>
    <row r="81" spans="1:14" ht="48" customHeight="1" x14ac:dyDescent="0.3">
      <c r="A81" s="44" t="s">
        <v>1035</v>
      </c>
      <c r="B81" s="44" t="s">
        <v>764</v>
      </c>
      <c r="C81" s="44" t="s">
        <v>765</v>
      </c>
      <c r="D81" s="44" t="s">
        <v>1036</v>
      </c>
      <c r="E81" s="44" t="s">
        <v>765</v>
      </c>
      <c r="F81" s="44" t="s">
        <v>1037</v>
      </c>
      <c r="G81" s="44" t="s">
        <v>726</v>
      </c>
      <c r="H81" s="44"/>
      <c r="I81" s="44"/>
      <c r="J81" s="44"/>
      <c r="K81" s="44"/>
      <c r="L81" s="44"/>
      <c r="M81" s="44"/>
      <c r="N81" s="44"/>
    </row>
    <row r="82" spans="1:14" ht="48" customHeight="1" x14ac:dyDescent="0.3">
      <c r="A82" s="43" t="s">
        <v>1038</v>
      </c>
      <c r="B82" s="43" t="s">
        <v>777</v>
      </c>
      <c r="C82" s="43" t="s">
        <v>758</v>
      </c>
      <c r="D82" s="43" t="s">
        <v>1039</v>
      </c>
      <c r="E82" s="43" t="s">
        <v>1040</v>
      </c>
      <c r="F82" s="43" t="s">
        <v>1041</v>
      </c>
      <c r="G82" s="43" t="s">
        <v>726</v>
      </c>
      <c r="H82" s="43"/>
      <c r="I82" s="43"/>
      <c r="J82" s="43"/>
      <c r="K82" s="43"/>
      <c r="L82" s="43"/>
      <c r="M82" s="43"/>
      <c r="N82" s="43"/>
    </row>
    <row r="83" spans="1:14" ht="48" customHeight="1" x14ac:dyDescent="0.3">
      <c r="A83" s="44" t="s">
        <v>1042</v>
      </c>
      <c r="B83" s="44" t="s">
        <v>786</v>
      </c>
      <c r="C83" s="44" t="s">
        <v>787</v>
      </c>
      <c r="D83" s="44" t="s">
        <v>1043</v>
      </c>
      <c r="E83" s="44" t="s">
        <v>1044</v>
      </c>
      <c r="F83" s="44" t="s">
        <v>1045</v>
      </c>
      <c r="G83" s="44" t="s">
        <v>726</v>
      </c>
      <c r="H83" s="44"/>
      <c r="I83" s="44"/>
      <c r="J83" s="44"/>
      <c r="K83" s="44"/>
      <c r="L83" s="44"/>
      <c r="M83" s="44"/>
      <c r="N83" s="44"/>
    </row>
    <row r="84" spans="1:14" ht="48" customHeight="1" x14ac:dyDescent="0.3">
      <c r="A84" s="43" t="s">
        <v>1046</v>
      </c>
      <c r="B84" s="43" t="s">
        <v>764</v>
      </c>
      <c r="C84" s="43" t="s">
        <v>758</v>
      </c>
      <c r="D84" s="43" t="s">
        <v>1047</v>
      </c>
      <c r="E84" s="43" t="s">
        <v>1048</v>
      </c>
      <c r="F84" s="43" t="s">
        <v>1049</v>
      </c>
      <c r="G84" s="43" t="s">
        <v>726</v>
      </c>
      <c r="H84" s="43"/>
      <c r="I84" s="43"/>
      <c r="J84" s="43"/>
      <c r="K84" s="43"/>
      <c r="L84" s="43"/>
      <c r="M84" s="43"/>
      <c r="N84" s="43"/>
    </row>
    <row r="85" spans="1:14" ht="48" customHeight="1" x14ac:dyDescent="0.3">
      <c r="A85" s="44" t="s">
        <v>1050</v>
      </c>
      <c r="B85" s="44" t="s">
        <v>740</v>
      </c>
      <c r="C85" s="44" t="s">
        <v>787</v>
      </c>
      <c r="D85" s="44" t="s">
        <v>1051</v>
      </c>
      <c r="E85" s="44" t="s">
        <v>1052</v>
      </c>
      <c r="F85" s="44" t="s">
        <v>1053</v>
      </c>
      <c r="G85" s="44" t="s">
        <v>726</v>
      </c>
      <c r="H85" s="44"/>
      <c r="I85" s="44"/>
      <c r="J85" s="44"/>
      <c r="K85" s="44"/>
      <c r="L85" s="44"/>
      <c r="M85" s="44"/>
      <c r="N85" s="44"/>
    </row>
    <row r="86" spans="1:14" ht="48" customHeight="1" x14ac:dyDescent="0.3">
      <c r="A86" s="43" t="s">
        <v>1054</v>
      </c>
      <c r="B86" s="43" t="s">
        <v>814</v>
      </c>
      <c r="C86" s="43" t="s">
        <v>765</v>
      </c>
      <c r="D86" s="43" t="s">
        <v>1055</v>
      </c>
      <c r="E86" s="43" t="s">
        <v>765</v>
      </c>
      <c r="F86" s="43" t="s">
        <v>1056</v>
      </c>
      <c r="G86" s="43" t="s">
        <v>726</v>
      </c>
      <c r="H86" s="43"/>
      <c r="I86" s="43"/>
      <c r="J86" s="43"/>
      <c r="K86" s="43"/>
      <c r="L86" s="43"/>
      <c r="M86" s="43"/>
      <c r="N86" s="43"/>
    </row>
    <row r="87" spans="1:14" ht="48" customHeight="1" x14ac:dyDescent="0.3">
      <c r="A87" s="44" t="s">
        <v>1057</v>
      </c>
      <c r="B87" s="44" t="s">
        <v>814</v>
      </c>
      <c r="C87" s="44" t="s">
        <v>765</v>
      </c>
      <c r="D87" s="44" t="s">
        <v>1058</v>
      </c>
      <c r="E87" s="44" t="s">
        <v>765</v>
      </c>
      <c r="F87" s="44" t="s">
        <v>1059</v>
      </c>
      <c r="G87" s="44" t="s">
        <v>726</v>
      </c>
      <c r="H87" s="44"/>
      <c r="I87" s="44"/>
      <c r="J87" s="44"/>
      <c r="K87" s="44"/>
      <c r="L87" s="44"/>
      <c r="M87" s="44"/>
      <c r="N87" s="44"/>
    </row>
    <row r="88" spans="1:14" ht="48" customHeight="1" x14ac:dyDescent="0.3">
      <c r="A88" s="43" t="s">
        <v>1060</v>
      </c>
      <c r="B88" s="43" t="s">
        <v>1061</v>
      </c>
      <c r="C88" s="43" t="s">
        <v>758</v>
      </c>
      <c r="D88" s="43" t="s">
        <v>1062</v>
      </c>
      <c r="E88" s="43" t="s">
        <v>1063</v>
      </c>
      <c r="F88" s="43" t="s">
        <v>1064</v>
      </c>
      <c r="G88" s="43" t="s">
        <v>726</v>
      </c>
      <c r="H88" s="43"/>
      <c r="I88" s="43"/>
      <c r="J88" s="43"/>
      <c r="K88" s="43"/>
      <c r="L88" s="43"/>
      <c r="M88" s="43"/>
      <c r="N88" s="43"/>
    </row>
    <row r="89" spans="1:14" ht="48" customHeight="1" x14ac:dyDescent="0.3">
      <c r="A89" s="44" t="s">
        <v>1065</v>
      </c>
      <c r="B89" s="44" t="s">
        <v>894</v>
      </c>
      <c r="C89" s="44" t="s">
        <v>758</v>
      </c>
      <c r="D89" s="44" t="s">
        <v>1066</v>
      </c>
      <c r="E89" s="44" t="s">
        <v>1067</v>
      </c>
      <c r="F89" s="44" t="s">
        <v>1068</v>
      </c>
      <c r="G89" s="44" t="s">
        <v>726</v>
      </c>
      <c r="H89" s="44"/>
      <c r="I89" s="44"/>
      <c r="J89" s="44"/>
      <c r="K89" s="44"/>
      <c r="L89" s="44"/>
      <c r="M89" s="44"/>
      <c r="N89" s="44"/>
    </row>
    <row r="90" spans="1:14" ht="48" customHeight="1" x14ac:dyDescent="0.3">
      <c r="A90" s="43" t="s">
        <v>1069</v>
      </c>
      <c r="B90" s="43" t="s">
        <v>1070</v>
      </c>
      <c r="C90" s="43" t="s">
        <v>797</v>
      </c>
      <c r="D90" s="43" t="s">
        <v>1071</v>
      </c>
      <c r="E90" s="43" t="s">
        <v>1072</v>
      </c>
      <c r="F90" s="43" t="s">
        <v>1073</v>
      </c>
      <c r="G90" s="43" t="s">
        <v>726</v>
      </c>
      <c r="H90" s="43"/>
      <c r="I90" s="43"/>
      <c r="J90" s="43"/>
      <c r="K90" s="43"/>
      <c r="L90" s="43"/>
      <c r="M90" s="43"/>
      <c r="N90" s="43"/>
    </row>
    <row r="91" spans="1:14" ht="48" customHeight="1" x14ac:dyDescent="0.3">
      <c r="A91" s="44" t="s">
        <v>1074</v>
      </c>
      <c r="B91" s="44" t="s">
        <v>786</v>
      </c>
      <c r="C91" s="44" t="s">
        <v>787</v>
      </c>
      <c r="D91" s="44" t="s">
        <v>1075</v>
      </c>
      <c r="E91" s="44" t="s">
        <v>1076</v>
      </c>
      <c r="F91" s="44" t="s">
        <v>1077</v>
      </c>
      <c r="G91" s="44" t="s">
        <v>726</v>
      </c>
      <c r="H91" s="44"/>
      <c r="I91" s="44"/>
      <c r="J91" s="44"/>
      <c r="K91" s="44"/>
      <c r="L91" s="44"/>
      <c r="M91" s="44"/>
      <c r="N91" s="44"/>
    </row>
    <row r="92" spans="1:14" ht="48" customHeight="1" x14ac:dyDescent="0.3">
      <c r="A92" s="43" t="s">
        <v>1078</v>
      </c>
      <c r="B92" s="43" t="s">
        <v>796</v>
      </c>
      <c r="C92" s="43" t="s">
        <v>797</v>
      </c>
      <c r="D92" s="43" t="s">
        <v>1079</v>
      </c>
      <c r="E92" s="43" t="s">
        <v>1080</v>
      </c>
      <c r="F92" s="43" t="s">
        <v>1081</v>
      </c>
      <c r="G92" s="43" t="s">
        <v>726</v>
      </c>
      <c r="H92" s="43"/>
      <c r="I92" s="43"/>
      <c r="J92" s="43"/>
      <c r="K92" s="43"/>
      <c r="L92" s="43"/>
      <c r="M92" s="43"/>
      <c r="N92" s="43"/>
    </row>
    <row r="93" spans="1:14" ht="48" customHeight="1" x14ac:dyDescent="0.3">
      <c r="A93" s="44" t="s">
        <v>1082</v>
      </c>
      <c r="B93" s="44" t="s">
        <v>819</v>
      </c>
      <c r="C93" s="44" t="s">
        <v>758</v>
      </c>
      <c r="D93" s="44" t="s">
        <v>1083</v>
      </c>
      <c r="E93" s="44" t="s">
        <v>765</v>
      </c>
      <c r="F93" s="44" t="s">
        <v>1084</v>
      </c>
      <c r="G93" s="44" t="s">
        <v>726</v>
      </c>
      <c r="H93" s="44"/>
      <c r="I93" s="44"/>
      <c r="J93" s="44"/>
      <c r="K93" s="44"/>
      <c r="L93" s="44"/>
      <c r="M93" s="44"/>
      <c r="N93" s="44"/>
    </row>
    <row r="94" spans="1:14" ht="48" customHeight="1" x14ac:dyDescent="0.3">
      <c r="A94" s="43" t="s">
        <v>1085</v>
      </c>
      <c r="B94" s="43" t="s">
        <v>764</v>
      </c>
      <c r="C94" s="43" t="s">
        <v>765</v>
      </c>
      <c r="D94" s="43" t="s">
        <v>1086</v>
      </c>
      <c r="E94" s="43" t="s">
        <v>765</v>
      </c>
      <c r="F94" s="43" t="s">
        <v>1087</v>
      </c>
      <c r="G94" s="43" t="s">
        <v>726</v>
      </c>
      <c r="H94" s="43"/>
      <c r="I94" s="43"/>
      <c r="J94" s="43"/>
      <c r="K94" s="43"/>
      <c r="L94" s="43"/>
      <c r="M94" s="43"/>
      <c r="N94" s="43"/>
    </row>
    <row r="95" spans="1:14" ht="48" customHeight="1" x14ac:dyDescent="0.3">
      <c r="A95" s="44" t="s">
        <v>1088</v>
      </c>
      <c r="B95" s="44" t="s">
        <v>972</v>
      </c>
      <c r="C95" s="44" t="s">
        <v>758</v>
      </c>
      <c r="D95" s="44" t="s">
        <v>1089</v>
      </c>
      <c r="E95" s="44" t="s">
        <v>1090</v>
      </c>
      <c r="F95" s="44" t="s">
        <v>1091</v>
      </c>
      <c r="G95" s="44" t="s">
        <v>726</v>
      </c>
      <c r="H95" s="44"/>
      <c r="I95" s="44"/>
      <c r="J95" s="44"/>
      <c r="K95" s="44"/>
      <c r="L95" s="44"/>
      <c r="M95" s="44"/>
      <c r="N95" s="44"/>
    </row>
    <row r="96" spans="1:14" ht="48" customHeight="1" x14ac:dyDescent="0.3">
      <c r="A96" s="43" t="s">
        <v>1092</v>
      </c>
      <c r="B96" s="43" t="s">
        <v>803</v>
      </c>
      <c r="C96" s="43" t="s">
        <v>804</v>
      </c>
      <c r="D96" s="43" t="s">
        <v>1093</v>
      </c>
      <c r="E96" s="43" t="s">
        <v>1094</v>
      </c>
      <c r="F96" s="43" t="s">
        <v>1095</v>
      </c>
      <c r="G96" s="43" t="s">
        <v>726</v>
      </c>
      <c r="H96" s="43"/>
      <c r="I96" s="43"/>
      <c r="J96" s="43"/>
      <c r="K96" s="43"/>
      <c r="L96" s="43"/>
      <c r="M96" s="43"/>
      <c r="N96" s="43"/>
    </row>
    <row r="97" spans="1:14" ht="48" customHeight="1" x14ac:dyDescent="0.3">
      <c r="A97" s="44" t="s">
        <v>1096</v>
      </c>
      <c r="B97" s="44" t="s">
        <v>923</v>
      </c>
      <c r="C97" s="44" t="s">
        <v>797</v>
      </c>
      <c r="D97" s="44" t="s">
        <v>1097</v>
      </c>
      <c r="E97" s="44" t="s">
        <v>1098</v>
      </c>
      <c r="F97" s="44" t="s">
        <v>1099</v>
      </c>
      <c r="G97" s="44" t="s">
        <v>726</v>
      </c>
      <c r="H97" s="44"/>
      <c r="I97" s="44"/>
      <c r="J97" s="44"/>
      <c r="K97" s="44"/>
      <c r="L97" s="44"/>
      <c r="M97" s="44"/>
      <c r="N97" s="44"/>
    </row>
    <row r="98" spans="1:14" ht="48" customHeight="1" x14ac:dyDescent="0.3">
      <c r="A98" s="43" t="s">
        <v>1100</v>
      </c>
      <c r="B98" s="43" t="s">
        <v>1101</v>
      </c>
      <c r="C98" s="43" t="s">
        <v>758</v>
      </c>
      <c r="D98" s="43" t="s">
        <v>1102</v>
      </c>
      <c r="E98" s="43" t="s">
        <v>1103</v>
      </c>
      <c r="F98" s="43" t="s">
        <v>1104</v>
      </c>
      <c r="G98" s="43" t="s">
        <v>726</v>
      </c>
      <c r="H98" s="43"/>
      <c r="I98" s="43"/>
      <c r="J98" s="43"/>
      <c r="K98" s="43"/>
      <c r="L98" s="43"/>
      <c r="M98" s="43"/>
      <c r="N98" s="43"/>
    </row>
    <row r="99" spans="1:14" ht="48" customHeight="1" x14ac:dyDescent="0.3">
      <c r="A99" s="44" t="s">
        <v>1105</v>
      </c>
      <c r="B99" s="44" t="s">
        <v>764</v>
      </c>
      <c r="C99" s="44" t="s">
        <v>765</v>
      </c>
      <c r="D99" s="44" t="s">
        <v>1106</v>
      </c>
      <c r="E99" s="44" t="s">
        <v>765</v>
      </c>
      <c r="F99" s="44" t="s">
        <v>1107</v>
      </c>
      <c r="G99" s="44" t="s">
        <v>726</v>
      </c>
      <c r="H99" s="44"/>
      <c r="I99" s="44"/>
      <c r="J99" s="44"/>
      <c r="K99" s="44"/>
      <c r="L99" s="44"/>
      <c r="M99" s="44"/>
      <c r="N99" s="44"/>
    </row>
    <row r="100" spans="1:14" ht="48" customHeight="1" x14ac:dyDescent="0.3">
      <c r="A100" s="43" t="s">
        <v>1108</v>
      </c>
      <c r="B100" s="43" t="s">
        <v>740</v>
      </c>
      <c r="C100" s="43" t="s">
        <v>787</v>
      </c>
      <c r="D100" s="43" t="s">
        <v>1109</v>
      </c>
      <c r="E100" s="43" t="s">
        <v>1110</v>
      </c>
      <c r="F100" s="43" t="s">
        <v>1111</v>
      </c>
      <c r="G100" s="43" t="s">
        <v>726</v>
      </c>
      <c r="H100" s="43"/>
      <c r="I100" s="43"/>
      <c r="J100" s="43"/>
      <c r="K100" s="43"/>
      <c r="L100" s="43"/>
      <c r="M100" s="43"/>
      <c r="N100" s="43"/>
    </row>
    <row r="101" spans="1:14" ht="48" customHeight="1" x14ac:dyDescent="0.3">
      <c r="A101" s="44" t="s">
        <v>1112</v>
      </c>
      <c r="B101" s="44" t="s">
        <v>814</v>
      </c>
      <c r="C101" s="44" t="s">
        <v>765</v>
      </c>
      <c r="D101" s="44" t="s">
        <v>1113</v>
      </c>
      <c r="E101" s="44" t="s">
        <v>765</v>
      </c>
      <c r="F101" s="44" t="s">
        <v>1114</v>
      </c>
      <c r="G101" s="44" t="s">
        <v>726</v>
      </c>
      <c r="H101" s="44"/>
      <c r="I101" s="44"/>
      <c r="J101" s="44"/>
      <c r="K101" s="44"/>
      <c r="L101" s="44"/>
      <c r="M101" s="44"/>
      <c r="N101" s="44"/>
    </row>
    <row r="102" spans="1:14" ht="48" customHeight="1" x14ac:dyDescent="0.3">
      <c r="A102" s="43" t="s">
        <v>1115</v>
      </c>
      <c r="B102" s="43" t="s">
        <v>792</v>
      </c>
      <c r="C102" s="43" t="s">
        <v>765</v>
      </c>
      <c r="D102" s="43" t="s">
        <v>1116</v>
      </c>
      <c r="E102" s="43" t="s">
        <v>765</v>
      </c>
      <c r="F102" s="43" t="s">
        <v>1117</v>
      </c>
      <c r="G102" s="43" t="s">
        <v>726</v>
      </c>
      <c r="H102" s="43"/>
      <c r="I102" s="43"/>
      <c r="J102" s="43"/>
      <c r="K102" s="43"/>
      <c r="L102" s="43"/>
      <c r="M102" s="43"/>
      <c r="N102" s="43"/>
    </row>
    <row r="103" spans="1:14" ht="48" customHeight="1" x14ac:dyDescent="0.3">
      <c r="A103" s="44" t="s">
        <v>1118</v>
      </c>
      <c r="B103" s="44" t="s">
        <v>1101</v>
      </c>
      <c r="C103" s="44" t="s">
        <v>797</v>
      </c>
      <c r="D103" s="44" t="s">
        <v>1119</v>
      </c>
      <c r="E103" s="44" t="s">
        <v>1120</v>
      </c>
      <c r="F103" s="44" t="s">
        <v>1121</v>
      </c>
      <c r="G103" s="44" t="s">
        <v>726</v>
      </c>
      <c r="H103" s="44"/>
      <c r="I103" s="44"/>
      <c r="J103" s="44"/>
      <c r="K103" s="44"/>
      <c r="L103" s="44"/>
      <c r="M103" s="44"/>
      <c r="N103" s="44"/>
    </row>
    <row r="104" spans="1:14" ht="21.75" customHeight="1" x14ac:dyDescent="0.3">
      <c r="A104" s="60" t="s">
        <v>1122</v>
      </c>
      <c r="B104" s="60"/>
      <c r="C104" s="60"/>
      <c r="D104" s="60"/>
      <c r="E104" s="60"/>
      <c r="F104" s="60"/>
      <c r="G104" s="60"/>
      <c r="H104" s="60"/>
      <c r="I104" s="60"/>
      <c r="J104" s="60"/>
      <c r="K104" s="60"/>
      <c r="L104" s="60"/>
      <c r="M104" s="60"/>
      <c r="N104" s="60"/>
    </row>
    <row r="105" spans="1:14" ht="48" customHeight="1" x14ac:dyDescent="0.3">
      <c r="A105" s="44" t="s">
        <v>1123</v>
      </c>
      <c r="B105" s="44" t="s">
        <v>1124</v>
      </c>
      <c r="C105" s="44" t="s">
        <v>765</v>
      </c>
      <c r="D105" s="44" t="s">
        <v>1125</v>
      </c>
      <c r="E105" s="44" t="s">
        <v>765</v>
      </c>
      <c r="F105" s="44" t="s">
        <v>1126</v>
      </c>
      <c r="G105" s="44" t="s">
        <v>726</v>
      </c>
      <c r="H105" s="44"/>
      <c r="I105" s="44"/>
      <c r="J105" s="44"/>
      <c r="K105" s="44"/>
      <c r="L105" s="44"/>
      <c r="M105" s="44"/>
      <c r="N105" s="44"/>
    </row>
    <row r="106" spans="1:14" ht="48" customHeight="1" x14ac:dyDescent="0.3">
      <c r="A106" s="43" t="s">
        <v>1127</v>
      </c>
      <c r="B106" s="43" t="s">
        <v>1124</v>
      </c>
      <c r="C106" s="43" t="s">
        <v>758</v>
      </c>
      <c r="D106" s="43" t="s">
        <v>1128</v>
      </c>
      <c r="E106" s="43" t="s">
        <v>1129</v>
      </c>
      <c r="F106" s="43" t="s">
        <v>1130</v>
      </c>
      <c r="G106" s="43" t="s">
        <v>726</v>
      </c>
      <c r="H106" s="43"/>
      <c r="I106" s="43"/>
      <c r="J106" s="43"/>
      <c r="K106" s="43"/>
      <c r="L106" s="43"/>
      <c r="M106" s="43"/>
      <c r="N106" s="43"/>
    </row>
    <row r="107" spans="1:14" ht="48" customHeight="1" x14ac:dyDescent="0.3">
      <c r="A107" s="44" t="s">
        <v>1131</v>
      </c>
      <c r="B107" s="44" t="s">
        <v>1124</v>
      </c>
      <c r="C107" s="44" t="s">
        <v>765</v>
      </c>
      <c r="D107" s="44" t="s">
        <v>1132</v>
      </c>
      <c r="E107" s="44" t="s">
        <v>765</v>
      </c>
      <c r="F107" s="44" t="s">
        <v>1133</v>
      </c>
      <c r="G107" s="44" t="s">
        <v>726</v>
      </c>
      <c r="H107" s="44"/>
      <c r="I107" s="44"/>
      <c r="J107" s="44"/>
      <c r="K107" s="44"/>
      <c r="L107" s="44"/>
      <c r="M107" s="44"/>
      <c r="N107" s="44"/>
    </row>
    <row r="108" spans="1:14" ht="48" customHeight="1" x14ac:dyDescent="0.3">
      <c r="A108" s="43" t="s">
        <v>1134</v>
      </c>
      <c r="B108" s="43" t="s">
        <v>1124</v>
      </c>
      <c r="C108" s="43" t="s">
        <v>758</v>
      </c>
      <c r="D108" s="43" t="s">
        <v>1135</v>
      </c>
      <c r="E108" s="43" t="s">
        <v>1136</v>
      </c>
      <c r="F108" s="43" t="s">
        <v>1137</v>
      </c>
      <c r="G108" s="43" t="s">
        <v>726</v>
      </c>
      <c r="H108" s="43"/>
      <c r="I108" s="43"/>
      <c r="J108" s="43"/>
      <c r="K108" s="43"/>
      <c r="L108" s="43"/>
      <c r="M108" s="43"/>
      <c r="N108" s="43"/>
    </row>
    <row r="109" spans="1:14" ht="48" customHeight="1" x14ac:dyDescent="0.3">
      <c r="A109" s="44" t="s">
        <v>1138</v>
      </c>
      <c r="B109" s="44" t="s">
        <v>1124</v>
      </c>
      <c r="C109" s="44" t="s">
        <v>765</v>
      </c>
      <c r="D109" s="44" t="s">
        <v>1139</v>
      </c>
      <c r="E109" s="44" t="s">
        <v>765</v>
      </c>
      <c r="F109" s="44" t="s">
        <v>1140</v>
      </c>
      <c r="G109" s="44" t="s">
        <v>726</v>
      </c>
      <c r="H109" s="44"/>
      <c r="I109" s="44"/>
      <c r="J109" s="44"/>
      <c r="K109" s="44"/>
      <c r="L109" s="44"/>
      <c r="M109" s="44"/>
      <c r="N109" s="44"/>
    </row>
    <row r="110" spans="1:14" ht="48" customHeight="1" x14ac:dyDescent="0.3">
      <c r="A110" s="43" t="s">
        <v>1141</v>
      </c>
      <c r="B110" s="43" t="s">
        <v>1124</v>
      </c>
      <c r="C110" s="43" t="s">
        <v>765</v>
      </c>
      <c r="D110" s="43" t="s">
        <v>1142</v>
      </c>
      <c r="E110" s="43" t="s">
        <v>765</v>
      </c>
      <c r="F110" s="43" t="s">
        <v>1143</v>
      </c>
      <c r="G110" s="43" t="s">
        <v>726</v>
      </c>
      <c r="H110" s="43"/>
      <c r="I110" s="43"/>
      <c r="J110" s="43"/>
      <c r="K110" s="43"/>
      <c r="L110" s="43"/>
      <c r="M110" s="43"/>
      <c r="N110" s="43"/>
    </row>
    <row r="111" spans="1:14" ht="48" customHeight="1" x14ac:dyDescent="0.3">
      <c r="A111" s="44" t="s">
        <v>1144</v>
      </c>
      <c r="B111" s="44" t="s">
        <v>1124</v>
      </c>
      <c r="C111" s="44" t="s">
        <v>758</v>
      </c>
      <c r="D111" s="44" t="s">
        <v>1145</v>
      </c>
      <c r="E111" s="44" t="s">
        <v>1146</v>
      </c>
      <c r="F111" s="44" t="s">
        <v>1147</v>
      </c>
      <c r="G111" s="44" t="s">
        <v>726</v>
      </c>
      <c r="H111" s="44"/>
      <c r="I111" s="44"/>
      <c r="J111" s="44"/>
      <c r="K111" s="44"/>
      <c r="L111" s="44"/>
      <c r="M111" s="44"/>
      <c r="N111" s="44"/>
    </row>
    <row r="112" spans="1:14" ht="48" customHeight="1" x14ac:dyDescent="0.3">
      <c r="A112" s="43" t="s">
        <v>1148</v>
      </c>
      <c r="B112" s="43" t="s">
        <v>1124</v>
      </c>
      <c r="C112" s="43" t="s">
        <v>765</v>
      </c>
      <c r="D112" s="43" t="s">
        <v>1149</v>
      </c>
      <c r="E112" s="43" t="s">
        <v>765</v>
      </c>
      <c r="F112" s="43" t="s">
        <v>1150</v>
      </c>
      <c r="G112" s="43" t="s">
        <v>726</v>
      </c>
      <c r="H112" s="43"/>
      <c r="I112" s="43"/>
      <c r="J112" s="43"/>
      <c r="K112" s="43"/>
      <c r="L112" s="43"/>
      <c r="M112" s="43"/>
      <c r="N112" s="43"/>
    </row>
    <row r="113" spans="1:14" ht="48" customHeight="1" x14ac:dyDescent="0.3">
      <c r="A113" s="44" t="s">
        <v>1151</v>
      </c>
      <c r="B113" s="44" t="s">
        <v>1124</v>
      </c>
      <c r="C113" s="44" t="s">
        <v>1152</v>
      </c>
      <c r="D113" s="44" t="s">
        <v>1153</v>
      </c>
      <c r="E113" s="44" t="s">
        <v>1154</v>
      </c>
      <c r="F113" s="44" t="s">
        <v>1155</v>
      </c>
      <c r="G113" s="44" t="s">
        <v>1156</v>
      </c>
      <c r="H113" s="44"/>
      <c r="I113" s="44"/>
      <c r="J113" s="44"/>
      <c r="K113" s="44"/>
      <c r="L113" s="44"/>
      <c r="M113" s="44"/>
      <c r="N113" s="44"/>
    </row>
    <row r="114" spans="1:14" ht="48" customHeight="1" x14ac:dyDescent="0.3">
      <c r="A114" s="43" t="s">
        <v>1157</v>
      </c>
      <c r="B114" s="43" t="s">
        <v>900</v>
      </c>
      <c r="C114" s="43" t="s">
        <v>758</v>
      </c>
      <c r="D114" s="43" t="s">
        <v>1158</v>
      </c>
      <c r="E114" s="43" t="s">
        <v>1159</v>
      </c>
      <c r="F114" s="43" t="s">
        <v>1160</v>
      </c>
      <c r="G114" s="43" t="s">
        <v>726</v>
      </c>
      <c r="H114" s="43"/>
      <c r="I114" s="43"/>
      <c r="J114" s="43"/>
      <c r="K114" s="43"/>
      <c r="L114" s="43"/>
      <c r="M114" s="43"/>
      <c r="N114" s="43"/>
    </row>
    <row r="115" spans="1:14" ht="48" customHeight="1" x14ac:dyDescent="0.3">
      <c r="A115" s="44" t="s">
        <v>1161</v>
      </c>
      <c r="B115" s="44" t="s">
        <v>894</v>
      </c>
      <c r="C115" s="44" t="s">
        <v>765</v>
      </c>
      <c r="D115" s="44" t="s">
        <v>1162</v>
      </c>
      <c r="E115" s="44" t="s">
        <v>765</v>
      </c>
      <c r="F115" s="44" t="s">
        <v>1163</v>
      </c>
      <c r="G115" s="44" t="s">
        <v>726</v>
      </c>
      <c r="H115" s="44"/>
      <c r="I115" s="44"/>
      <c r="J115" s="44"/>
      <c r="K115" s="44"/>
      <c r="L115" s="44"/>
      <c r="M115" s="44"/>
      <c r="N115" s="44"/>
    </row>
    <row r="116" spans="1:14" ht="48" customHeight="1" x14ac:dyDescent="0.3">
      <c r="A116" s="43" t="s">
        <v>1164</v>
      </c>
      <c r="B116" s="43" t="s">
        <v>894</v>
      </c>
      <c r="C116" s="43" t="s">
        <v>758</v>
      </c>
      <c r="D116" s="43" t="s">
        <v>1165</v>
      </c>
      <c r="E116" s="43" t="s">
        <v>765</v>
      </c>
      <c r="F116" s="43" t="s">
        <v>1166</v>
      </c>
      <c r="G116" s="43" t="s">
        <v>726</v>
      </c>
      <c r="H116" s="43"/>
      <c r="I116" s="43"/>
      <c r="J116" s="43"/>
      <c r="K116" s="43"/>
      <c r="L116" s="43"/>
      <c r="M116" s="43"/>
      <c r="N116" s="43"/>
    </row>
    <row r="117" spans="1:14" ht="48" customHeight="1" x14ac:dyDescent="0.3">
      <c r="A117" s="44" t="s">
        <v>1167</v>
      </c>
      <c r="B117" s="44" t="s">
        <v>1124</v>
      </c>
      <c r="C117" s="44" t="s">
        <v>765</v>
      </c>
      <c r="D117" s="44" t="s">
        <v>1168</v>
      </c>
      <c r="E117" s="44" t="s">
        <v>765</v>
      </c>
      <c r="F117" s="44" t="s">
        <v>1169</v>
      </c>
      <c r="G117" s="44" t="s">
        <v>726</v>
      </c>
      <c r="H117" s="44"/>
      <c r="I117" s="44"/>
      <c r="J117" s="44"/>
      <c r="K117" s="44"/>
      <c r="L117" s="44"/>
      <c r="M117" s="44"/>
      <c r="N117" s="44"/>
    </row>
    <row r="118" spans="1:14" ht="48" customHeight="1" x14ac:dyDescent="0.3">
      <c r="A118" s="43" t="s">
        <v>1170</v>
      </c>
      <c r="B118" s="43" t="s">
        <v>1171</v>
      </c>
      <c r="C118" s="43" t="s">
        <v>758</v>
      </c>
      <c r="D118" s="43" t="s">
        <v>1172</v>
      </c>
      <c r="E118" s="43" t="s">
        <v>765</v>
      </c>
      <c r="F118" s="43" t="s">
        <v>1173</v>
      </c>
      <c r="G118" s="43" t="s">
        <v>726</v>
      </c>
      <c r="H118" s="43"/>
      <c r="I118" s="43"/>
      <c r="J118" s="43"/>
      <c r="K118" s="43"/>
      <c r="L118" s="43"/>
      <c r="M118" s="43"/>
      <c r="N118" s="43"/>
    </row>
    <row r="119" spans="1:14" ht="48" customHeight="1" x14ac:dyDescent="0.3">
      <c r="A119" s="44" t="s">
        <v>1174</v>
      </c>
      <c r="B119" s="44" t="s">
        <v>1171</v>
      </c>
      <c r="C119" s="44" t="s">
        <v>765</v>
      </c>
      <c r="D119" s="44" t="s">
        <v>1175</v>
      </c>
      <c r="E119" s="44" t="s">
        <v>765</v>
      </c>
      <c r="F119" s="44" t="s">
        <v>1176</v>
      </c>
      <c r="G119" s="44" t="s">
        <v>726</v>
      </c>
      <c r="H119" s="44"/>
      <c r="I119" s="44"/>
      <c r="J119" s="44"/>
      <c r="K119" s="44"/>
      <c r="L119" s="44"/>
      <c r="M119" s="44"/>
      <c r="N119" s="44"/>
    </row>
    <row r="120" spans="1:14" ht="48" customHeight="1" x14ac:dyDescent="0.3">
      <c r="A120" s="43" t="s">
        <v>1177</v>
      </c>
      <c r="B120" s="43" t="s">
        <v>1124</v>
      </c>
      <c r="C120" s="43" t="s">
        <v>758</v>
      </c>
      <c r="D120" s="43" t="s">
        <v>1178</v>
      </c>
      <c r="E120" s="43" t="s">
        <v>1179</v>
      </c>
      <c r="F120" s="43" t="s">
        <v>1180</v>
      </c>
      <c r="G120" s="43" t="s">
        <v>726</v>
      </c>
      <c r="H120" s="43"/>
      <c r="I120" s="43"/>
      <c r="J120" s="43"/>
      <c r="K120" s="43"/>
      <c r="L120" s="43"/>
      <c r="M120" s="43"/>
      <c r="N120" s="43"/>
    </row>
    <row r="121" spans="1:14" ht="48" customHeight="1" x14ac:dyDescent="0.3">
      <c r="A121" s="44" t="s">
        <v>1181</v>
      </c>
      <c r="B121" s="44" t="s">
        <v>1124</v>
      </c>
      <c r="C121" s="44" t="s">
        <v>765</v>
      </c>
      <c r="D121" s="44" t="s">
        <v>1182</v>
      </c>
      <c r="E121" s="44" t="s">
        <v>765</v>
      </c>
      <c r="F121" s="44" t="s">
        <v>1183</v>
      </c>
      <c r="G121" s="44" t="s">
        <v>726</v>
      </c>
      <c r="H121" s="44"/>
      <c r="I121" s="44"/>
      <c r="J121" s="44"/>
      <c r="K121" s="44"/>
      <c r="L121" s="44"/>
      <c r="M121" s="44"/>
      <c r="N121" s="44"/>
    </row>
    <row r="122" spans="1:14" ht="48" customHeight="1" x14ac:dyDescent="0.3">
      <c r="A122" s="43" t="s">
        <v>1184</v>
      </c>
      <c r="B122" s="43" t="s">
        <v>1171</v>
      </c>
      <c r="C122" s="43" t="s">
        <v>1185</v>
      </c>
      <c r="D122" s="43" t="s">
        <v>1186</v>
      </c>
      <c r="E122" s="43" t="s">
        <v>1187</v>
      </c>
      <c r="F122" s="43" t="s">
        <v>1188</v>
      </c>
      <c r="G122" s="43" t="s">
        <v>1189</v>
      </c>
      <c r="H122" s="43"/>
      <c r="I122" s="43"/>
      <c r="J122" s="43"/>
      <c r="K122" s="43"/>
      <c r="L122" s="43"/>
      <c r="M122" s="43"/>
      <c r="N122" s="43"/>
    </row>
    <row r="123" spans="1:14" ht="48" customHeight="1" x14ac:dyDescent="0.3">
      <c r="A123" s="44" t="s">
        <v>1190</v>
      </c>
      <c r="B123" s="44" t="s">
        <v>1171</v>
      </c>
      <c r="C123" s="44" t="s">
        <v>765</v>
      </c>
      <c r="D123" s="44" t="s">
        <v>1191</v>
      </c>
      <c r="E123" s="44" t="s">
        <v>765</v>
      </c>
      <c r="F123" s="44" t="s">
        <v>1192</v>
      </c>
      <c r="G123" s="44" t="s">
        <v>726</v>
      </c>
      <c r="H123" s="44"/>
      <c r="I123" s="44"/>
      <c r="J123" s="44"/>
      <c r="K123" s="44"/>
      <c r="L123" s="44"/>
      <c r="M123" s="44"/>
      <c r="N123" s="44"/>
    </row>
    <row r="124" spans="1:14" ht="48" customHeight="1" x14ac:dyDescent="0.3">
      <c r="A124" s="43" t="s">
        <v>1193</v>
      </c>
      <c r="B124" s="43" t="s">
        <v>1194</v>
      </c>
      <c r="C124" s="43" t="s">
        <v>758</v>
      </c>
      <c r="D124" s="43" t="s">
        <v>1195</v>
      </c>
      <c r="E124" s="43" t="s">
        <v>1196</v>
      </c>
      <c r="F124" s="43" t="s">
        <v>1197</v>
      </c>
      <c r="G124" s="43" t="s">
        <v>726</v>
      </c>
      <c r="H124" s="43"/>
      <c r="I124" s="43"/>
      <c r="J124" s="43"/>
      <c r="K124" s="43"/>
      <c r="L124" s="43"/>
      <c r="M124" s="43"/>
      <c r="N124" s="43"/>
    </row>
    <row r="125" spans="1:14" ht="21.75" customHeight="1" x14ac:dyDescent="0.3">
      <c r="A125" s="60" t="s">
        <v>1198</v>
      </c>
      <c r="B125" s="60"/>
      <c r="C125" s="60"/>
      <c r="D125" s="60"/>
      <c r="E125" s="60"/>
      <c r="F125" s="60"/>
      <c r="G125" s="60"/>
      <c r="H125" s="60"/>
      <c r="I125" s="60"/>
      <c r="J125" s="60"/>
      <c r="K125" s="60"/>
      <c r="L125" s="60"/>
      <c r="M125" s="60"/>
      <c r="N125" s="60"/>
    </row>
    <row r="126" spans="1:14" ht="48" customHeight="1" x14ac:dyDescent="0.3">
      <c r="A126" s="43" t="s">
        <v>1199</v>
      </c>
      <c r="B126" s="43" t="s">
        <v>819</v>
      </c>
      <c r="C126" s="43" t="s">
        <v>758</v>
      </c>
      <c r="D126" s="43" t="s">
        <v>1200</v>
      </c>
      <c r="E126" s="43" t="s">
        <v>1201</v>
      </c>
      <c r="F126" s="43" t="s">
        <v>1202</v>
      </c>
      <c r="G126" s="43" t="s">
        <v>726</v>
      </c>
      <c r="H126" s="43"/>
      <c r="I126" s="43"/>
      <c r="J126" s="43"/>
      <c r="K126" s="43"/>
      <c r="L126" s="43"/>
      <c r="M126" s="43"/>
      <c r="N126" s="43"/>
    </row>
    <row r="127" spans="1:14" ht="48" customHeight="1" x14ac:dyDescent="0.3">
      <c r="A127" s="44" t="s">
        <v>1203</v>
      </c>
      <c r="B127" s="44" t="s">
        <v>819</v>
      </c>
      <c r="C127" s="44" t="s">
        <v>765</v>
      </c>
      <c r="D127" s="44" t="s">
        <v>1204</v>
      </c>
      <c r="E127" s="44" t="s">
        <v>765</v>
      </c>
      <c r="F127" s="44" t="s">
        <v>1205</v>
      </c>
      <c r="G127" s="44" t="s">
        <v>726</v>
      </c>
      <c r="H127" s="44"/>
      <c r="I127" s="44"/>
      <c r="J127" s="44"/>
      <c r="K127" s="44"/>
      <c r="L127" s="44"/>
      <c r="M127" s="44"/>
      <c r="N127" s="44"/>
    </row>
    <row r="128" spans="1:14" ht="48" customHeight="1" x14ac:dyDescent="0.3">
      <c r="A128" s="43" t="s">
        <v>1206</v>
      </c>
      <c r="B128" s="43" t="s">
        <v>819</v>
      </c>
      <c r="C128" s="43" t="s">
        <v>758</v>
      </c>
      <c r="D128" s="43" t="s">
        <v>1207</v>
      </c>
      <c r="E128" s="43" t="s">
        <v>1208</v>
      </c>
      <c r="F128" s="43" t="s">
        <v>1209</v>
      </c>
      <c r="G128" s="43" t="s">
        <v>726</v>
      </c>
      <c r="H128" s="43"/>
      <c r="I128" s="43"/>
      <c r="J128" s="43"/>
      <c r="K128" s="43"/>
      <c r="L128" s="43"/>
      <c r="M128" s="43"/>
      <c r="N128" s="43"/>
    </row>
    <row r="129" spans="1:14" ht="48" customHeight="1" x14ac:dyDescent="0.3">
      <c r="A129" s="44" t="s">
        <v>1210</v>
      </c>
      <c r="B129" s="44" t="s">
        <v>819</v>
      </c>
      <c r="C129" s="44" t="s">
        <v>765</v>
      </c>
      <c r="D129" s="44" t="s">
        <v>1211</v>
      </c>
      <c r="E129" s="44" t="s">
        <v>765</v>
      </c>
      <c r="F129" s="44" t="s">
        <v>1212</v>
      </c>
      <c r="G129" s="44" t="s">
        <v>726</v>
      </c>
      <c r="H129" s="44"/>
      <c r="I129" s="44"/>
      <c r="J129" s="44"/>
      <c r="K129" s="44"/>
      <c r="L129" s="44"/>
      <c r="M129" s="44"/>
      <c r="N129" s="44"/>
    </row>
    <row r="130" spans="1:14" ht="48" customHeight="1" x14ac:dyDescent="0.3">
      <c r="A130" s="43" t="s">
        <v>1213</v>
      </c>
      <c r="B130" s="43" t="s">
        <v>819</v>
      </c>
      <c r="C130" s="43" t="s">
        <v>758</v>
      </c>
      <c r="D130" s="43" t="s">
        <v>1214</v>
      </c>
      <c r="E130" s="43" t="s">
        <v>1215</v>
      </c>
      <c r="F130" s="43" t="s">
        <v>1216</v>
      </c>
      <c r="G130" s="43" t="s">
        <v>726</v>
      </c>
      <c r="H130" s="43"/>
      <c r="I130" s="43"/>
      <c r="J130" s="43"/>
      <c r="K130" s="43"/>
      <c r="L130" s="43"/>
      <c r="M130" s="43"/>
      <c r="N130" s="43"/>
    </row>
    <row r="131" spans="1:14" ht="48" customHeight="1" x14ac:dyDescent="0.3">
      <c r="A131" s="44" t="s">
        <v>1217</v>
      </c>
      <c r="B131" s="44" t="s">
        <v>894</v>
      </c>
      <c r="C131" s="44" t="s">
        <v>765</v>
      </c>
      <c r="D131" s="44" t="s">
        <v>1218</v>
      </c>
      <c r="E131" s="44" t="s">
        <v>765</v>
      </c>
      <c r="F131" s="44" t="s">
        <v>1219</v>
      </c>
      <c r="G131" s="44" t="s">
        <v>726</v>
      </c>
      <c r="H131" s="44"/>
      <c r="I131" s="44"/>
      <c r="J131" s="44"/>
      <c r="K131" s="44"/>
      <c r="L131" s="44"/>
      <c r="M131" s="44"/>
      <c r="N131" s="44"/>
    </row>
    <row r="132" spans="1:14" ht="48" customHeight="1" x14ac:dyDescent="0.3">
      <c r="A132" s="43" t="s">
        <v>1220</v>
      </c>
      <c r="B132" s="43" t="s">
        <v>819</v>
      </c>
      <c r="C132" s="43" t="s">
        <v>765</v>
      </c>
      <c r="D132" s="43" t="s">
        <v>1221</v>
      </c>
      <c r="E132" s="43" t="s">
        <v>765</v>
      </c>
      <c r="F132" s="43" t="s">
        <v>1222</v>
      </c>
      <c r="G132" s="43" t="s">
        <v>726</v>
      </c>
      <c r="H132" s="43"/>
      <c r="I132" s="43"/>
      <c r="J132" s="43"/>
      <c r="K132" s="43"/>
      <c r="L132" s="43"/>
      <c r="M132" s="43"/>
      <c r="N132" s="43"/>
    </row>
    <row r="133" spans="1:14" ht="21.75" customHeight="1" x14ac:dyDescent="0.3">
      <c r="A133" s="60" t="s">
        <v>1223</v>
      </c>
      <c r="B133" s="60"/>
      <c r="C133" s="60"/>
      <c r="D133" s="60"/>
      <c r="E133" s="60"/>
      <c r="F133" s="60"/>
      <c r="G133" s="60"/>
      <c r="H133" s="60"/>
      <c r="I133" s="60"/>
      <c r="J133" s="60"/>
      <c r="K133" s="60"/>
      <c r="L133" s="60"/>
      <c r="M133" s="60"/>
      <c r="N133" s="60"/>
    </row>
    <row r="134" spans="1:14" ht="48" customHeight="1" x14ac:dyDescent="0.3">
      <c r="A134" s="43" t="s">
        <v>1224</v>
      </c>
      <c r="B134" s="43" t="s">
        <v>1225</v>
      </c>
      <c r="C134" s="43" t="s">
        <v>1185</v>
      </c>
      <c r="D134" s="43" t="s">
        <v>1226</v>
      </c>
      <c r="E134" s="43" t="s">
        <v>1227</v>
      </c>
      <c r="F134" s="43" t="s">
        <v>1228</v>
      </c>
      <c r="G134" s="43" t="s">
        <v>1229</v>
      </c>
      <c r="H134" s="43"/>
      <c r="I134" s="43"/>
      <c r="J134" s="43"/>
      <c r="K134" s="43"/>
      <c r="L134" s="43"/>
      <c r="M134" s="43"/>
      <c r="N134" s="43"/>
    </row>
    <row r="135" spans="1:14" ht="48" customHeight="1" x14ac:dyDescent="0.3">
      <c r="A135" s="44" t="s">
        <v>1230</v>
      </c>
      <c r="B135" s="44" t="s">
        <v>1231</v>
      </c>
      <c r="C135" s="44" t="s">
        <v>1185</v>
      </c>
      <c r="D135" s="44" t="s">
        <v>1232</v>
      </c>
      <c r="E135" s="44" t="s">
        <v>1233</v>
      </c>
      <c r="F135" s="44" t="s">
        <v>1234</v>
      </c>
      <c r="G135" s="44" t="s">
        <v>1229</v>
      </c>
      <c r="H135" s="44"/>
      <c r="I135" s="44"/>
      <c r="J135" s="44"/>
      <c r="K135" s="44"/>
      <c r="L135" s="44"/>
      <c r="M135" s="44"/>
      <c r="N135" s="44"/>
    </row>
    <row r="136" spans="1:14" ht="48" customHeight="1" x14ac:dyDescent="0.3">
      <c r="A136" s="43" t="s">
        <v>1235</v>
      </c>
      <c r="B136" s="43" t="s">
        <v>1236</v>
      </c>
      <c r="C136" s="43" t="s">
        <v>1237</v>
      </c>
      <c r="D136" s="43" t="s">
        <v>1238</v>
      </c>
      <c r="E136" s="43" t="s">
        <v>1239</v>
      </c>
      <c r="F136" s="43" t="s">
        <v>1240</v>
      </c>
      <c r="G136" s="43" t="s">
        <v>1229</v>
      </c>
      <c r="H136" s="43"/>
      <c r="I136" s="43"/>
      <c r="J136" s="43"/>
      <c r="K136" s="43"/>
      <c r="L136" s="43"/>
      <c r="M136" s="43"/>
      <c r="N136" s="43"/>
    </row>
    <row r="137" spans="1:14" ht="48" customHeight="1" x14ac:dyDescent="0.3">
      <c r="A137" s="44" t="s">
        <v>1241</v>
      </c>
      <c r="B137" s="44" t="s">
        <v>1236</v>
      </c>
      <c r="C137" s="44" t="s">
        <v>1185</v>
      </c>
      <c r="D137" s="44" t="s">
        <v>1242</v>
      </c>
      <c r="E137" s="44" t="s">
        <v>1243</v>
      </c>
      <c r="F137" s="44" t="s">
        <v>1244</v>
      </c>
      <c r="G137" s="44" t="s">
        <v>1229</v>
      </c>
      <c r="H137" s="44"/>
      <c r="I137" s="44"/>
      <c r="J137" s="44"/>
      <c r="K137" s="44"/>
      <c r="L137" s="44"/>
      <c r="M137" s="44"/>
      <c r="N137" s="44"/>
    </row>
    <row r="138" spans="1:14" ht="48" customHeight="1" x14ac:dyDescent="0.3">
      <c r="A138" s="43" t="s">
        <v>1245</v>
      </c>
      <c r="B138" s="43" t="s">
        <v>1236</v>
      </c>
      <c r="C138" s="43" t="s">
        <v>765</v>
      </c>
      <c r="D138" s="43" t="s">
        <v>1246</v>
      </c>
      <c r="E138" s="43" t="s">
        <v>765</v>
      </c>
      <c r="F138" s="43" t="s">
        <v>1247</v>
      </c>
      <c r="G138" s="43" t="s">
        <v>1229</v>
      </c>
      <c r="H138" s="43"/>
      <c r="I138" s="43"/>
      <c r="J138" s="43"/>
      <c r="K138" s="43"/>
      <c r="L138" s="43"/>
      <c r="M138" s="43"/>
      <c r="N138" s="43"/>
    </row>
    <row r="139" spans="1:14" ht="48" customHeight="1" x14ac:dyDescent="0.3">
      <c r="A139" s="44" t="s">
        <v>1248</v>
      </c>
      <c r="B139" s="44" t="s">
        <v>1236</v>
      </c>
      <c r="C139" s="44" t="s">
        <v>765</v>
      </c>
      <c r="D139" s="44" t="s">
        <v>1249</v>
      </c>
      <c r="E139" s="44" t="s">
        <v>765</v>
      </c>
      <c r="F139" s="44" t="s">
        <v>1250</v>
      </c>
      <c r="G139" s="44" t="s">
        <v>1229</v>
      </c>
      <c r="H139" s="44"/>
      <c r="I139" s="44"/>
      <c r="J139" s="44"/>
      <c r="K139" s="44"/>
      <c r="L139" s="44"/>
      <c r="M139" s="44"/>
      <c r="N139" s="44"/>
    </row>
    <row r="140" spans="1:14" ht="48" customHeight="1" x14ac:dyDescent="0.3">
      <c r="A140" s="43" t="s">
        <v>1251</v>
      </c>
      <c r="B140" s="43" t="s">
        <v>1236</v>
      </c>
      <c r="C140" s="43" t="s">
        <v>1185</v>
      </c>
      <c r="D140" s="43" t="s">
        <v>1252</v>
      </c>
      <c r="E140" s="43" t="s">
        <v>1253</v>
      </c>
      <c r="F140" s="43" t="s">
        <v>1254</v>
      </c>
      <c r="G140" s="43" t="s">
        <v>1229</v>
      </c>
      <c r="H140" s="43"/>
      <c r="I140" s="43"/>
      <c r="J140" s="43"/>
      <c r="K140" s="43"/>
      <c r="L140" s="43"/>
      <c r="M140" s="43"/>
      <c r="N140" s="43"/>
    </row>
    <row r="141" spans="1:14" ht="21.75" customHeight="1" x14ac:dyDescent="0.3">
      <c r="A141" s="60" t="s">
        <v>1255</v>
      </c>
      <c r="B141" s="60"/>
      <c r="C141" s="60"/>
      <c r="D141" s="60"/>
      <c r="E141" s="60"/>
      <c r="F141" s="60"/>
      <c r="G141" s="60"/>
      <c r="H141" s="60"/>
      <c r="I141" s="60"/>
      <c r="J141" s="60"/>
      <c r="K141" s="60"/>
      <c r="L141" s="60"/>
      <c r="M141" s="60"/>
      <c r="N141" s="60"/>
    </row>
    <row r="142" spans="1:14" ht="48" customHeight="1" x14ac:dyDescent="0.3">
      <c r="A142" s="43" t="s">
        <v>1256</v>
      </c>
      <c r="B142" s="43" t="s">
        <v>1257</v>
      </c>
      <c r="C142" s="43" t="s">
        <v>1185</v>
      </c>
      <c r="D142" s="43" t="s">
        <v>1258</v>
      </c>
      <c r="E142" s="43" t="s">
        <v>1259</v>
      </c>
      <c r="F142" s="43" t="s">
        <v>1260</v>
      </c>
      <c r="G142" s="43" t="s">
        <v>1229</v>
      </c>
      <c r="H142" s="43"/>
      <c r="I142" s="43"/>
      <c r="J142" s="43"/>
      <c r="K142" s="43"/>
      <c r="L142" s="43"/>
      <c r="M142" s="43"/>
      <c r="N142" s="43"/>
    </row>
    <row r="143" spans="1:14" ht="48" customHeight="1" x14ac:dyDescent="0.3">
      <c r="A143" s="44" t="s">
        <v>1261</v>
      </c>
      <c r="B143" s="44" t="s">
        <v>1257</v>
      </c>
      <c r="C143" s="44" t="s">
        <v>765</v>
      </c>
      <c r="D143" s="44" t="s">
        <v>1262</v>
      </c>
      <c r="E143" s="44" t="s">
        <v>765</v>
      </c>
      <c r="F143" s="44" t="s">
        <v>1263</v>
      </c>
      <c r="G143" s="44" t="s">
        <v>1229</v>
      </c>
      <c r="H143" s="44"/>
      <c r="I143" s="44"/>
      <c r="J143" s="44"/>
      <c r="K143" s="44"/>
      <c r="L143" s="44"/>
      <c r="M143" s="44"/>
      <c r="N143" s="44"/>
    </row>
    <row r="144" spans="1:14" ht="48" customHeight="1" x14ac:dyDescent="0.3">
      <c r="A144" s="43" t="s">
        <v>1264</v>
      </c>
      <c r="B144" s="43" t="s">
        <v>1257</v>
      </c>
      <c r="C144" s="43" t="s">
        <v>765</v>
      </c>
      <c r="D144" s="43" t="s">
        <v>1265</v>
      </c>
      <c r="E144" s="43" t="s">
        <v>765</v>
      </c>
      <c r="F144" s="43" t="s">
        <v>1266</v>
      </c>
      <c r="G144" s="43" t="s">
        <v>1229</v>
      </c>
      <c r="H144" s="43"/>
      <c r="I144" s="43"/>
      <c r="J144" s="43"/>
      <c r="K144" s="43"/>
      <c r="L144" s="43"/>
      <c r="M144" s="43"/>
      <c r="N144" s="43"/>
    </row>
    <row r="145" spans="1:14" ht="48" customHeight="1" x14ac:dyDescent="0.3">
      <c r="A145" s="44" t="s">
        <v>1267</v>
      </c>
      <c r="B145" s="44" t="s">
        <v>1257</v>
      </c>
      <c r="C145" s="44" t="s">
        <v>1185</v>
      </c>
      <c r="D145" s="44" t="s">
        <v>1268</v>
      </c>
      <c r="E145" s="44" t="s">
        <v>1269</v>
      </c>
      <c r="F145" s="44" t="s">
        <v>1270</v>
      </c>
      <c r="G145" s="44" t="s">
        <v>1271</v>
      </c>
      <c r="H145" s="44"/>
      <c r="I145" s="44"/>
      <c r="J145" s="44"/>
      <c r="K145" s="44"/>
      <c r="L145" s="44"/>
      <c r="M145" s="44"/>
      <c r="N145" s="44"/>
    </row>
    <row r="146" spans="1:14" ht="48" customHeight="1" x14ac:dyDescent="0.3">
      <c r="A146" s="43" t="s">
        <v>1272</v>
      </c>
      <c r="B146" s="43" t="s">
        <v>1257</v>
      </c>
      <c r="C146" s="43" t="s">
        <v>1237</v>
      </c>
      <c r="D146" s="43" t="s">
        <v>1273</v>
      </c>
      <c r="E146" s="43" t="s">
        <v>1274</v>
      </c>
      <c r="F146" s="43" t="s">
        <v>1275</v>
      </c>
      <c r="G146" s="43" t="s">
        <v>1229</v>
      </c>
      <c r="H146" s="43"/>
      <c r="I146" s="43"/>
      <c r="J146" s="43"/>
      <c r="K146" s="43"/>
      <c r="L146" s="43"/>
      <c r="M146" s="43"/>
      <c r="N146" s="43"/>
    </row>
    <row r="147" spans="1:14" ht="48" customHeight="1" x14ac:dyDescent="0.3">
      <c r="A147" s="44" t="s">
        <v>1276</v>
      </c>
      <c r="B147" s="44" t="s">
        <v>1257</v>
      </c>
      <c r="C147" s="44" t="s">
        <v>765</v>
      </c>
      <c r="D147" s="44" t="s">
        <v>1277</v>
      </c>
      <c r="E147" s="44" t="s">
        <v>765</v>
      </c>
      <c r="F147" s="44" t="s">
        <v>1278</v>
      </c>
      <c r="G147" s="44" t="s">
        <v>1229</v>
      </c>
      <c r="H147" s="44"/>
      <c r="I147" s="44"/>
      <c r="J147" s="44"/>
      <c r="K147" s="44"/>
      <c r="L147" s="44"/>
      <c r="M147" s="44"/>
      <c r="N147" s="44"/>
    </row>
    <row r="148" spans="1:14" ht="21.75" customHeight="1" x14ac:dyDescent="0.3">
      <c r="A148" s="60" t="s">
        <v>1279</v>
      </c>
      <c r="B148" s="60"/>
      <c r="C148" s="60"/>
      <c r="D148" s="60"/>
      <c r="E148" s="60"/>
      <c r="F148" s="60"/>
      <c r="G148" s="60"/>
      <c r="H148" s="60"/>
      <c r="I148" s="60"/>
      <c r="J148" s="60"/>
      <c r="K148" s="60"/>
      <c r="L148" s="60"/>
      <c r="M148" s="60"/>
      <c r="N148" s="60"/>
    </row>
    <row r="149" spans="1:14" ht="48" customHeight="1" x14ac:dyDescent="0.3">
      <c r="A149" s="44" t="s">
        <v>1280</v>
      </c>
      <c r="B149" s="44" t="s">
        <v>1281</v>
      </c>
      <c r="C149" s="44" t="s">
        <v>1185</v>
      </c>
      <c r="D149" s="44" t="s">
        <v>1282</v>
      </c>
      <c r="E149" s="44" t="s">
        <v>1283</v>
      </c>
      <c r="F149" s="44" t="s">
        <v>1284</v>
      </c>
      <c r="G149" s="44" t="s">
        <v>726</v>
      </c>
      <c r="H149" s="44"/>
      <c r="I149" s="44"/>
      <c r="J149" s="44"/>
      <c r="K149" s="44"/>
      <c r="L149" s="44"/>
      <c r="M149" s="44"/>
      <c r="N149" s="44"/>
    </row>
    <row r="150" spans="1:14" ht="48" customHeight="1" x14ac:dyDescent="0.3">
      <c r="A150" s="43" t="s">
        <v>1285</v>
      </c>
      <c r="B150" s="43" t="s">
        <v>1281</v>
      </c>
      <c r="C150" s="43" t="s">
        <v>765</v>
      </c>
      <c r="D150" s="43" t="s">
        <v>1286</v>
      </c>
      <c r="E150" s="43" t="s">
        <v>765</v>
      </c>
      <c r="F150" s="43" t="s">
        <v>1287</v>
      </c>
      <c r="G150" s="43" t="s">
        <v>726</v>
      </c>
      <c r="H150" s="43"/>
      <c r="I150" s="43"/>
      <c r="J150" s="43"/>
      <c r="K150" s="43"/>
      <c r="L150" s="43"/>
      <c r="M150" s="43"/>
      <c r="N150" s="43"/>
    </row>
    <row r="151" spans="1:14" ht="48" customHeight="1" x14ac:dyDescent="0.3">
      <c r="A151" s="44" t="s">
        <v>1288</v>
      </c>
      <c r="B151" s="44" t="s">
        <v>1281</v>
      </c>
      <c r="C151" s="44" t="s">
        <v>765</v>
      </c>
      <c r="D151" s="44" t="s">
        <v>1289</v>
      </c>
      <c r="E151" s="44" t="s">
        <v>765</v>
      </c>
      <c r="F151" s="44" t="s">
        <v>1290</v>
      </c>
      <c r="G151" s="44" t="s">
        <v>726</v>
      </c>
      <c r="H151" s="44"/>
      <c r="I151" s="44"/>
      <c r="J151" s="44"/>
      <c r="K151" s="44"/>
      <c r="L151" s="44"/>
      <c r="M151" s="44"/>
      <c r="N151" s="44"/>
    </row>
    <row r="152" spans="1:14" ht="48" customHeight="1" x14ac:dyDescent="0.3">
      <c r="A152" s="43" t="s">
        <v>1291</v>
      </c>
      <c r="B152" s="43" t="s">
        <v>1281</v>
      </c>
      <c r="C152" s="43" t="s">
        <v>1185</v>
      </c>
      <c r="D152" s="43" t="s">
        <v>1292</v>
      </c>
      <c r="E152" s="43" t="s">
        <v>1293</v>
      </c>
      <c r="F152" s="43" t="s">
        <v>1294</v>
      </c>
      <c r="G152" s="43" t="s">
        <v>726</v>
      </c>
      <c r="H152" s="43"/>
      <c r="I152" s="43"/>
      <c r="J152" s="43"/>
      <c r="K152" s="43"/>
      <c r="L152" s="43"/>
      <c r="M152" s="43"/>
      <c r="N152" s="43"/>
    </row>
    <row r="153" spans="1:14" ht="48" customHeight="1" x14ac:dyDescent="0.3">
      <c r="A153" s="44" t="s">
        <v>1295</v>
      </c>
      <c r="B153" s="44" t="s">
        <v>1281</v>
      </c>
      <c r="C153" s="44" t="s">
        <v>765</v>
      </c>
      <c r="D153" s="44" t="s">
        <v>1296</v>
      </c>
      <c r="E153" s="44" t="s">
        <v>765</v>
      </c>
      <c r="F153" s="44" t="s">
        <v>1297</v>
      </c>
      <c r="G153" s="44" t="s">
        <v>726</v>
      </c>
      <c r="H153" s="44"/>
      <c r="I153" s="44"/>
      <c r="J153" s="44"/>
      <c r="K153" s="44"/>
      <c r="L153" s="44"/>
      <c r="M153" s="44"/>
      <c r="N153" s="44"/>
    </row>
    <row r="154" spans="1:14" ht="48" customHeight="1" x14ac:dyDescent="0.3">
      <c r="A154" s="43" t="s">
        <v>1298</v>
      </c>
      <c r="B154" s="43" t="s">
        <v>1281</v>
      </c>
      <c r="C154" s="43" t="s">
        <v>1185</v>
      </c>
      <c r="D154" s="43" t="s">
        <v>1299</v>
      </c>
      <c r="E154" s="43" t="s">
        <v>1300</v>
      </c>
      <c r="F154" s="43" t="s">
        <v>1301</v>
      </c>
      <c r="G154" s="43" t="s">
        <v>726</v>
      </c>
      <c r="H154" s="43"/>
      <c r="I154" s="43"/>
      <c r="J154" s="43"/>
      <c r="K154" s="43"/>
      <c r="L154" s="43"/>
      <c r="M154" s="43"/>
      <c r="N154" s="43"/>
    </row>
    <row r="155" spans="1:14" ht="48" customHeight="1" x14ac:dyDescent="0.3">
      <c r="A155" s="44" t="s">
        <v>1302</v>
      </c>
      <c r="B155" s="44" t="s">
        <v>1281</v>
      </c>
      <c r="C155" s="44" t="s">
        <v>765</v>
      </c>
      <c r="D155" s="44" t="s">
        <v>1303</v>
      </c>
      <c r="E155" s="44" t="s">
        <v>765</v>
      </c>
      <c r="F155" s="44" t="s">
        <v>1304</v>
      </c>
      <c r="G155" s="44" t="s">
        <v>726</v>
      </c>
      <c r="H155" s="44"/>
      <c r="I155" s="44"/>
      <c r="J155" s="44"/>
      <c r="K155" s="44"/>
      <c r="L155" s="44"/>
      <c r="M155" s="44"/>
      <c r="N155" s="44"/>
    </row>
    <row r="156" spans="1:14" ht="21.75" customHeight="1" x14ac:dyDescent="0.3">
      <c r="A156" s="60" t="s">
        <v>1305</v>
      </c>
      <c r="B156" s="60"/>
      <c r="C156" s="60"/>
      <c r="D156" s="60"/>
      <c r="E156" s="60"/>
      <c r="F156" s="60"/>
      <c r="G156" s="60"/>
      <c r="H156" s="60"/>
      <c r="I156" s="60"/>
      <c r="J156" s="60"/>
      <c r="K156" s="60"/>
      <c r="L156" s="60"/>
      <c r="M156" s="60"/>
      <c r="N156" s="60"/>
    </row>
    <row r="157" spans="1:14" ht="48" customHeight="1" x14ac:dyDescent="0.3">
      <c r="A157" s="44" t="s">
        <v>1306</v>
      </c>
      <c r="B157" s="44" t="s">
        <v>1307</v>
      </c>
      <c r="C157" s="44" t="s">
        <v>765</v>
      </c>
      <c r="D157" s="44" t="s">
        <v>1308</v>
      </c>
      <c r="E157" s="44" t="s">
        <v>765</v>
      </c>
      <c r="F157" s="44" t="s">
        <v>1309</v>
      </c>
      <c r="G157" s="44" t="s">
        <v>726</v>
      </c>
      <c r="H157" s="44"/>
      <c r="I157" s="44"/>
      <c r="J157" s="44"/>
      <c r="K157" s="44"/>
      <c r="L157" s="44"/>
      <c r="M157" s="44"/>
      <c r="N157" s="44"/>
    </row>
    <row r="158" spans="1:14" ht="48" customHeight="1" x14ac:dyDescent="0.3">
      <c r="A158" s="43" t="s">
        <v>1310</v>
      </c>
      <c r="B158" s="43" t="s">
        <v>1307</v>
      </c>
      <c r="C158" s="43" t="s">
        <v>765</v>
      </c>
      <c r="D158" s="43" t="s">
        <v>1311</v>
      </c>
      <c r="E158" s="43" t="s">
        <v>765</v>
      </c>
      <c r="F158" s="43" t="s">
        <v>1312</v>
      </c>
      <c r="G158" s="43" t="s">
        <v>726</v>
      </c>
      <c r="H158" s="43"/>
      <c r="I158" s="43"/>
      <c r="J158" s="43"/>
      <c r="K158" s="43"/>
      <c r="L158" s="43"/>
      <c r="M158" s="43"/>
      <c r="N158" s="43"/>
    </row>
    <row r="159" spans="1:14" ht="48" customHeight="1" x14ac:dyDescent="0.3">
      <c r="A159" s="44" t="s">
        <v>1313</v>
      </c>
      <c r="B159" s="44" t="s">
        <v>1307</v>
      </c>
      <c r="C159" s="44" t="s">
        <v>765</v>
      </c>
      <c r="D159" s="44" t="s">
        <v>1314</v>
      </c>
      <c r="E159" s="44" t="s">
        <v>765</v>
      </c>
      <c r="F159" s="44" t="s">
        <v>1315</v>
      </c>
      <c r="G159" s="44" t="s">
        <v>726</v>
      </c>
      <c r="H159" s="44"/>
      <c r="I159" s="44"/>
      <c r="J159" s="44"/>
      <c r="K159" s="44"/>
      <c r="L159" s="44"/>
      <c r="M159" s="44"/>
      <c r="N159" s="44"/>
    </row>
    <row r="160" spans="1:14" ht="48" customHeight="1" x14ac:dyDescent="0.3">
      <c r="A160" s="43" t="s">
        <v>1316</v>
      </c>
      <c r="B160" s="43" t="s">
        <v>1307</v>
      </c>
      <c r="C160" s="43" t="s">
        <v>765</v>
      </c>
      <c r="D160" s="43" t="s">
        <v>1317</v>
      </c>
      <c r="E160" s="43" t="s">
        <v>765</v>
      </c>
      <c r="F160" s="43" t="s">
        <v>1318</v>
      </c>
      <c r="G160" s="43" t="s">
        <v>726</v>
      </c>
      <c r="H160" s="43"/>
      <c r="I160" s="43"/>
      <c r="J160" s="43"/>
      <c r="K160" s="43"/>
      <c r="L160" s="43"/>
      <c r="M160" s="43"/>
      <c r="N160" s="43"/>
    </row>
    <row r="161" spans="1:14" ht="48" customHeight="1" x14ac:dyDescent="0.3">
      <c r="A161" s="44" t="s">
        <v>1319</v>
      </c>
      <c r="B161" s="44" t="s">
        <v>1307</v>
      </c>
      <c r="C161" s="44" t="s">
        <v>765</v>
      </c>
      <c r="D161" s="44" t="s">
        <v>1320</v>
      </c>
      <c r="E161" s="44" t="s">
        <v>765</v>
      </c>
      <c r="F161" s="44" t="s">
        <v>1321</v>
      </c>
      <c r="G161" s="44" t="s">
        <v>726</v>
      </c>
      <c r="H161" s="44"/>
      <c r="I161" s="44"/>
      <c r="J161" s="44"/>
      <c r="K161" s="44"/>
      <c r="L161" s="44"/>
      <c r="M161" s="44"/>
      <c r="N161" s="44"/>
    </row>
    <row r="162" spans="1:14" ht="21.75" customHeight="1" x14ac:dyDescent="0.3">
      <c r="A162" s="60" t="s">
        <v>1322</v>
      </c>
      <c r="B162" s="60"/>
      <c r="C162" s="60"/>
      <c r="D162" s="60"/>
      <c r="E162" s="60"/>
      <c r="F162" s="60"/>
      <c r="G162" s="60"/>
      <c r="H162" s="60"/>
      <c r="I162" s="60"/>
      <c r="J162" s="60"/>
      <c r="K162" s="60"/>
      <c r="L162" s="60"/>
      <c r="M162" s="60"/>
      <c r="N162" s="60"/>
    </row>
    <row r="163" spans="1:14" ht="48" customHeight="1" x14ac:dyDescent="0.3">
      <c r="A163" s="44" t="s">
        <v>1323</v>
      </c>
      <c r="B163" s="44" t="s">
        <v>1324</v>
      </c>
      <c r="C163" s="44" t="s">
        <v>765</v>
      </c>
      <c r="D163" s="44" t="s">
        <v>1325</v>
      </c>
      <c r="E163" s="44" t="s">
        <v>765</v>
      </c>
      <c r="F163" s="44" t="s">
        <v>1326</v>
      </c>
      <c r="G163" s="44" t="s">
        <v>726</v>
      </c>
      <c r="H163" s="44"/>
      <c r="I163" s="44"/>
      <c r="J163" s="44"/>
      <c r="K163" s="44"/>
      <c r="L163" s="44"/>
      <c r="M163" s="44"/>
      <c r="N163" s="44"/>
    </row>
    <row r="164" spans="1:14" ht="48" customHeight="1" x14ac:dyDescent="0.3">
      <c r="A164" s="43" t="s">
        <v>1327</v>
      </c>
      <c r="B164" s="43" t="s">
        <v>1324</v>
      </c>
      <c r="C164" s="43" t="s">
        <v>765</v>
      </c>
      <c r="D164" s="43" t="s">
        <v>1328</v>
      </c>
      <c r="E164" s="43" t="s">
        <v>765</v>
      </c>
      <c r="F164" s="43" t="s">
        <v>1329</v>
      </c>
      <c r="G164" s="43" t="s">
        <v>726</v>
      </c>
      <c r="H164" s="43"/>
      <c r="I164" s="43"/>
      <c r="J164" s="43"/>
      <c r="K164" s="43"/>
      <c r="L164" s="43"/>
      <c r="M164" s="43"/>
      <c r="N164" s="43"/>
    </row>
    <row r="165" spans="1:14" ht="48" customHeight="1" x14ac:dyDescent="0.3">
      <c r="A165" s="44" t="s">
        <v>1330</v>
      </c>
      <c r="B165" s="44" t="s">
        <v>1324</v>
      </c>
      <c r="C165" s="44" t="s">
        <v>765</v>
      </c>
      <c r="D165" s="44" t="s">
        <v>1331</v>
      </c>
      <c r="E165" s="44" t="s">
        <v>765</v>
      </c>
      <c r="F165" s="44" t="s">
        <v>1332</v>
      </c>
      <c r="G165" s="44" t="s">
        <v>726</v>
      </c>
      <c r="H165" s="44"/>
      <c r="I165" s="44"/>
      <c r="J165" s="44"/>
      <c r="K165" s="44"/>
      <c r="L165" s="44"/>
      <c r="M165" s="44"/>
      <c r="N165" s="44"/>
    </row>
    <row r="166" spans="1:14" ht="48" customHeight="1" x14ac:dyDescent="0.3">
      <c r="A166" s="43" t="s">
        <v>1333</v>
      </c>
      <c r="B166" s="43" t="s">
        <v>894</v>
      </c>
      <c r="C166" s="43" t="s">
        <v>765</v>
      </c>
      <c r="D166" s="43" t="s">
        <v>1334</v>
      </c>
      <c r="E166" s="43" t="s">
        <v>765</v>
      </c>
      <c r="F166" s="43" t="s">
        <v>1335</v>
      </c>
      <c r="G166" s="43" t="s">
        <v>726</v>
      </c>
      <c r="H166" s="43"/>
      <c r="I166" s="43"/>
      <c r="J166" s="43"/>
      <c r="K166" s="43"/>
      <c r="L166" s="43"/>
      <c r="M166" s="43"/>
      <c r="N166" s="43"/>
    </row>
    <row r="167" spans="1:14" ht="48" customHeight="1" x14ac:dyDescent="0.3">
      <c r="A167" s="44" t="s">
        <v>1336</v>
      </c>
      <c r="B167" s="44" t="s">
        <v>1324</v>
      </c>
      <c r="C167" s="44" t="s">
        <v>765</v>
      </c>
      <c r="D167" s="44" t="s">
        <v>1337</v>
      </c>
      <c r="E167" s="44" t="s">
        <v>765</v>
      </c>
      <c r="F167" s="44" t="s">
        <v>1338</v>
      </c>
      <c r="G167" s="44" t="s">
        <v>726</v>
      </c>
      <c r="H167" s="44"/>
      <c r="I167" s="44"/>
      <c r="J167" s="44"/>
      <c r="K167" s="44"/>
      <c r="L167" s="44"/>
      <c r="M167" s="44"/>
      <c r="N167" s="44"/>
    </row>
    <row r="168" spans="1:14" ht="21.75" customHeight="1" x14ac:dyDescent="0.3">
      <c r="A168" s="60" t="s">
        <v>1339</v>
      </c>
      <c r="B168" s="60"/>
      <c r="C168" s="60"/>
      <c r="D168" s="60"/>
      <c r="E168" s="60"/>
      <c r="F168" s="60"/>
      <c r="G168" s="60"/>
      <c r="H168" s="60"/>
      <c r="I168" s="60"/>
      <c r="J168" s="60"/>
      <c r="K168" s="60"/>
      <c r="L168" s="60"/>
      <c r="M168" s="60"/>
      <c r="N168" s="60"/>
    </row>
    <row r="169" spans="1:14" ht="48" customHeight="1" x14ac:dyDescent="0.3">
      <c r="A169" s="44" t="s">
        <v>1340</v>
      </c>
      <c r="B169" s="44" t="s">
        <v>1341</v>
      </c>
      <c r="C169" s="44" t="s">
        <v>765</v>
      </c>
      <c r="D169" s="44" t="s">
        <v>1342</v>
      </c>
      <c r="E169" s="44" t="s">
        <v>765</v>
      </c>
      <c r="F169" s="44" t="s">
        <v>1343</v>
      </c>
      <c r="G169" s="44" t="s">
        <v>726</v>
      </c>
      <c r="H169" s="44"/>
      <c r="I169" s="44"/>
      <c r="J169" s="44"/>
      <c r="K169" s="44"/>
      <c r="L169" s="44"/>
      <c r="M169" s="44"/>
      <c r="N169" s="44"/>
    </row>
    <row r="170" spans="1:14" ht="48" customHeight="1" x14ac:dyDescent="0.3">
      <c r="A170" s="43" t="s">
        <v>1344</v>
      </c>
      <c r="B170" s="43" t="s">
        <v>1341</v>
      </c>
      <c r="C170" s="43" t="s">
        <v>765</v>
      </c>
      <c r="D170" s="43" t="s">
        <v>1345</v>
      </c>
      <c r="E170" s="43" t="s">
        <v>765</v>
      </c>
      <c r="F170" s="43" t="s">
        <v>1346</v>
      </c>
      <c r="G170" s="43" t="s">
        <v>726</v>
      </c>
      <c r="H170" s="43"/>
      <c r="I170" s="43"/>
      <c r="J170" s="43"/>
      <c r="K170" s="43"/>
      <c r="L170" s="43"/>
      <c r="M170" s="43"/>
      <c r="N170" s="43"/>
    </row>
    <row r="171" spans="1:14" ht="48" customHeight="1" x14ac:dyDescent="0.3">
      <c r="A171" s="44" t="s">
        <v>1347</v>
      </c>
      <c r="B171" s="44" t="s">
        <v>1341</v>
      </c>
      <c r="C171" s="44" t="s">
        <v>765</v>
      </c>
      <c r="D171" s="44" t="s">
        <v>1348</v>
      </c>
      <c r="E171" s="44" t="s">
        <v>765</v>
      </c>
      <c r="F171" s="44" t="s">
        <v>1349</v>
      </c>
      <c r="G171" s="44" t="s">
        <v>726</v>
      </c>
      <c r="H171" s="44"/>
      <c r="I171" s="44"/>
      <c r="J171" s="44"/>
      <c r="K171" s="44"/>
      <c r="L171" s="44"/>
      <c r="M171" s="44"/>
      <c r="N171" s="44"/>
    </row>
    <row r="172" spans="1:14" ht="48" customHeight="1" x14ac:dyDescent="0.3">
      <c r="A172" s="43" t="s">
        <v>1350</v>
      </c>
      <c r="B172" s="43" t="s">
        <v>1341</v>
      </c>
      <c r="C172" s="43" t="s">
        <v>765</v>
      </c>
      <c r="D172" s="43" t="s">
        <v>1351</v>
      </c>
      <c r="E172" s="43" t="s">
        <v>765</v>
      </c>
      <c r="F172" s="43" t="s">
        <v>1352</v>
      </c>
      <c r="G172" s="43" t="s">
        <v>726</v>
      </c>
      <c r="H172" s="43"/>
      <c r="I172" s="43"/>
      <c r="J172" s="43"/>
      <c r="K172" s="43"/>
      <c r="L172" s="43"/>
      <c r="M172" s="43"/>
      <c r="N172" s="43"/>
    </row>
    <row r="173" spans="1:14" ht="21.75" customHeight="1" x14ac:dyDescent="0.3">
      <c r="A173" s="60" t="s">
        <v>1353</v>
      </c>
      <c r="B173" s="60"/>
      <c r="C173" s="60"/>
      <c r="D173" s="60"/>
      <c r="E173" s="60"/>
      <c r="F173" s="60"/>
      <c r="G173" s="60"/>
      <c r="H173" s="60"/>
      <c r="I173" s="60"/>
      <c r="J173" s="60"/>
      <c r="K173" s="60"/>
      <c r="L173" s="60"/>
      <c r="M173" s="60"/>
      <c r="N173" s="60"/>
    </row>
    <row r="174" spans="1:14" ht="48" customHeight="1" x14ac:dyDescent="0.3">
      <c r="A174" s="43" t="s">
        <v>1354</v>
      </c>
      <c r="B174" s="43" t="s">
        <v>1355</v>
      </c>
      <c r="C174" s="43" t="s">
        <v>765</v>
      </c>
      <c r="D174" s="43" t="s">
        <v>1356</v>
      </c>
      <c r="E174" s="43" t="s">
        <v>765</v>
      </c>
      <c r="F174" s="43" t="s">
        <v>1357</v>
      </c>
      <c r="G174" s="43" t="s">
        <v>726</v>
      </c>
      <c r="H174" s="43"/>
      <c r="I174" s="43"/>
      <c r="J174" s="43"/>
      <c r="K174" s="43"/>
      <c r="L174" s="43"/>
      <c r="M174" s="43"/>
      <c r="N174" s="43"/>
    </row>
    <row r="175" spans="1:14" ht="48" customHeight="1" x14ac:dyDescent="0.3">
      <c r="A175" s="44" t="s">
        <v>1358</v>
      </c>
      <c r="B175" s="44" t="s">
        <v>1355</v>
      </c>
      <c r="C175" s="44" t="s">
        <v>765</v>
      </c>
      <c r="D175" s="44" t="s">
        <v>1359</v>
      </c>
      <c r="E175" s="44" t="s">
        <v>765</v>
      </c>
      <c r="F175" s="44" t="s">
        <v>1360</v>
      </c>
      <c r="G175" s="44" t="s">
        <v>726</v>
      </c>
      <c r="H175" s="44"/>
      <c r="I175" s="44"/>
      <c r="J175" s="44"/>
      <c r="K175" s="44"/>
      <c r="L175" s="44"/>
      <c r="M175" s="44"/>
      <c r="N175" s="44"/>
    </row>
    <row r="176" spans="1:14" ht="48" customHeight="1" x14ac:dyDescent="0.3">
      <c r="A176" s="43" t="s">
        <v>1361</v>
      </c>
      <c r="B176" s="43" t="s">
        <v>1355</v>
      </c>
      <c r="C176" s="43" t="s">
        <v>765</v>
      </c>
      <c r="D176" s="43" t="s">
        <v>1362</v>
      </c>
      <c r="E176" s="43" t="s">
        <v>765</v>
      </c>
      <c r="F176" s="43" t="s">
        <v>1363</v>
      </c>
      <c r="G176" s="43" t="s">
        <v>726</v>
      </c>
      <c r="H176" s="43"/>
      <c r="I176" s="43"/>
      <c r="J176" s="43"/>
      <c r="K176" s="43"/>
      <c r="L176" s="43"/>
      <c r="M176" s="43"/>
      <c r="N176" s="43"/>
    </row>
    <row r="177" spans="1:14" ht="48" customHeight="1" x14ac:dyDescent="0.3">
      <c r="A177" s="44" t="s">
        <v>1364</v>
      </c>
      <c r="B177" s="44" t="s">
        <v>1355</v>
      </c>
      <c r="C177" s="44" t="s">
        <v>765</v>
      </c>
      <c r="D177" s="44" t="s">
        <v>1365</v>
      </c>
      <c r="E177" s="44" t="s">
        <v>765</v>
      </c>
      <c r="F177" s="44" t="s">
        <v>1366</v>
      </c>
      <c r="G177" s="44" t="s">
        <v>726</v>
      </c>
      <c r="H177" s="44"/>
      <c r="I177" s="44"/>
      <c r="J177" s="44"/>
      <c r="K177" s="44"/>
      <c r="L177" s="44"/>
      <c r="M177" s="44"/>
      <c r="N177" s="44"/>
    </row>
    <row r="178" spans="1:14" ht="21.75" customHeight="1" x14ac:dyDescent="0.3">
      <c r="A178" s="60" t="s">
        <v>1367</v>
      </c>
      <c r="B178" s="60"/>
      <c r="C178" s="60"/>
      <c r="D178" s="60"/>
      <c r="E178" s="60"/>
      <c r="F178" s="60"/>
      <c r="G178" s="60"/>
      <c r="H178" s="60"/>
      <c r="I178" s="60"/>
      <c r="J178" s="60"/>
      <c r="K178" s="60"/>
      <c r="L178" s="60"/>
      <c r="M178" s="60"/>
      <c r="N178" s="60"/>
    </row>
    <row r="179" spans="1:14" ht="48" customHeight="1" x14ac:dyDescent="0.3">
      <c r="A179" s="44" t="s">
        <v>1368</v>
      </c>
      <c r="B179" s="44" t="s">
        <v>1369</v>
      </c>
      <c r="C179" s="44" t="s">
        <v>765</v>
      </c>
      <c r="D179" s="44" t="s">
        <v>1370</v>
      </c>
      <c r="E179" s="44" t="s">
        <v>765</v>
      </c>
      <c r="F179" s="44" t="s">
        <v>1371</v>
      </c>
      <c r="G179" s="44" t="s">
        <v>1372</v>
      </c>
      <c r="H179" s="44"/>
      <c r="I179" s="44"/>
      <c r="J179" s="44"/>
      <c r="K179" s="44"/>
      <c r="L179" s="44"/>
      <c r="M179" s="44"/>
      <c r="N179" s="44"/>
    </row>
    <row r="180" spans="1:14" ht="48" customHeight="1" x14ac:dyDescent="0.3">
      <c r="A180" s="43" t="s">
        <v>1373</v>
      </c>
      <c r="B180" s="43" t="s">
        <v>1369</v>
      </c>
      <c r="C180" s="43" t="s">
        <v>765</v>
      </c>
      <c r="D180" s="43" t="s">
        <v>1374</v>
      </c>
      <c r="E180" s="43" t="s">
        <v>765</v>
      </c>
      <c r="F180" s="43" t="s">
        <v>1375</v>
      </c>
      <c r="G180" s="43" t="s">
        <v>1372</v>
      </c>
      <c r="H180" s="43"/>
      <c r="I180" s="43"/>
      <c r="J180" s="43"/>
      <c r="K180" s="43"/>
      <c r="L180" s="43"/>
      <c r="M180" s="43"/>
      <c r="N180" s="43"/>
    </row>
    <row r="181" spans="1:14" ht="48" customHeight="1" x14ac:dyDescent="0.3">
      <c r="A181" s="44" t="s">
        <v>1376</v>
      </c>
      <c r="B181" s="44" t="s">
        <v>1369</v>
      </c>
      <c r="C181" s="44" t="s">
        <v>765</v>
      </c>
      <c r="D181" s="44" t="s">
        <v>1377</v>
      </c>
      <c r="E181" s="44" t="s">
        <v>765</v>
      </c>
      <c r="F181" s="44" t="s">
        <v>1378</v>
      </c>
      <c r="G181" s="44" t="s">
        <v>1372</v>
      </c>
      <c r="H181" s="44"/>
      <c r="I181" s="44"/>
      <c r="J181" s="44"/>
      <c r="K181" s="44"/>
      <c r="L181" s="44"/>
      <c r="M181" s="44"/>
      <c r="N181" s="44"/>
    </row>
    <row r="182" spans="1:14" ht="48" customHeight="1" x14ac:dyDescent="0.3">
      <c r="A182" s="43" t="s">
        <v>1379</v>
      </c>
      <c r="B182" s="43" t="s">
        <v>1369</v>
      </c>
      <c r="C182" s="43" t="s">
        <v>765</v>
      </c>
      <c r="D182" s="43" t="s">
        <v>1380</v>
      </c>
      <c r="E182" s="43" t="s">
        <v>765</v>
      </c>
      <c r="F182" s="43" t="s">
        <v>1381</v>
      </c>
      <c r="G182" s="43" t="s">
        <v>1372</v>
      </c>
      <c r="H182" s="43"/>
      <c r="I182" s="43"/>
      <c r="J182" s="43"/>
      <c r="K182" s="43"/>
      <c r="L182" s="43"/>
      <c r="M182" s="43"/>
      <c r="N182" s="43"/>
    </row>
    <row r="183" spans="1:14" ht="48" customHeight="1" x14ac:dyDescent="0.3">
      <c r="A183" s="44" t="s">
        <v>1382</v>
      </c>
      <c r="B183" s="44" t="s">
        <v>1369</v>
      </c>
      <c r="C183" s="44" t="s">
        <v>765</v>
      </c>
      <c r="D183" s="44" t="s">
        <v>1383</v>
      </c>
      <c r="E183" s="44" t="s">
        <v>765</v>
      </c>
      <c r="F183" s="44" t="s">
        <v>1384</v>
      </c>
      <c r="G183" s="44" t="s">
        <v>1372</v>
      </c>
      <c r="H183" s="44"/>
      <c r="I183" s="44"/>
      <c r="J183" s="44"/>
      <c r="K183" s="44"/>
      <c r="L183" s="44"/>
      <c r="M183" s="44"/>
      <c r="N183" s="44"/>
    </row>
    <row r="184" spans="1:14" ht="21.75" customHeight="1" x14ac:dyDescent="0.3">
      <c r="A184" s="60" t="s">
        <v>1385</v>
      </c>
      <c r="B184" s="60"/>
      <c r="C184" s="60"/>
      <c r="D184" s="60"/>
      <c r="E184" s="60"/>
      <c r="F184" s="60"/>
      <c r="G184" s="60"/>
      <c r="H184" s="60"/>
      <c r="I184" s="60"/>
      <c r="J184" s="60"/>
      <c r="K184" s="60"/>
      <c r="L184" s="60"/>
      <c r="M184" s="60"/>
      <c r="N184" s="60"/>
    </row>
    <row r="185" spans="1:14" ht="48" customHeight="1" x14ac:dyDescent="0.3">
      <c r="A185" s="44" t="s">
        <v>1386</v>
      </c>
      <c r="B185" s="44" t="s">
        <v>1281</v>
      </c>
      <c r="C185" s="44" t="s">
        <v>765</v>
      </c>
      <c r="D185" s="44" t="s">
        <v>1387</v>
      </c>
      <c r="E185" s="44" t="s">
        <v>765</v>
      </c>
      <c r="F185" s="44" t="s">
        <v>1388</v>
      </c>
      <c r="G185" s="44" t="s">
        <v>726</v>
      </c>
      <c r="H185" s="44"/>
      <c r="I185" s="44"/>
      <c r="J185" s="44"/>
      <c r="K185" s="44"/>
      <c r="L185" s="44"/>
      <c r="M185" s="44"/>
      <c r="N185" s="44"/>
    </row>
    <row r="186" spans="1:14" ht="48" customHeight="1" x14ac:dyDescent="0.3">
      <c r="A186" s="43" t="s">
        <v>1389</v>
      </c>
      <c r="B186" s="43" t="s">
        <v>1281</v>
      </c>
      <c r="C186" s="43" t="s">
        <v>1185</v>
      </c>
      <c r="D186" s="43" t="s">
        <v>1390</v>
      </c>
      <c r="E186" s="43" t="s">
        <v>1391</v>
      </c>
      <c r="F186" s="43" t="s">
        <v>1392</v>
      </c>
      <c r="G186" s="43" t="s">
        <v>726</v>
      </c>
      <c r="H186" s="43"/>
      <c r="I186" s="43"/>
      <c r="J186" s="43"/>
      <c r="K186" s="43"/>
      <c r="L186" s="43"/>
      <c r="M186" s="43"/>
      <c r="N186" s="43"/>
    </row>
    <row r="187" spans="1:14" ht="48" customHeight="1" x14ac:dyDescent="0.3">
      <c r="A187" s="44" t="s">
        <v>1393</v>
      </c>
      <c r="B187" s="44" t="s">
        <v>1281</v>
      </c>
      <c r="C187" s="44" t="s">
        <v>765</v>
      </c>
      <c r="D187" s="44" t="s">
        <v>1394</v>
      </c>
      <c r="E187" s="44" t="s">
        <v>765</v>
      </c>
      <c r="F187" s="44" t="s">
        <v>1395</v>
      </c>
      <c r="G187" s="44" t="s">
        <v>726</v>
      </c>
      <c r="H187" s="44"/>
      <c r="I187" s="44"/>
      <c r="J187" s="44"/>
      <c r="K187" s="44"/>
      <c r="L187" s="44"/>
      <c r="M187" s="44"/>
      <c r="N187" s="44"/>
    </row>
    <row r="188" spans="1:14" ht="48" customHeight="1" x14ac:dyDescent="0.3">
      <c r="A188" s="43" t="s">
        <v>1396</v>
      </c>
      <c r="B188" s="43" t="s">
        <v>1281</v>
      </c>
      <c r="C188" s="43" t="s">
        <v>765</v>
      </c>
      <c r="D188" s="43" t="s">
        <v>1397</v>
      </c>
      <c r="E188" s="43" t="s">
        <v>765</v>
      </c>
      <c r="F188" s="43" t="s">
        <v>1398</v>
      </c>
      <c r="G188" s="43" t="s">
        <v>726</v>
      </c>
      <c r="H188" s="43"/>
      <c r="I188" s="43"/>
      <c r="J188" s="43"/>
      <c r="K188" s="43"/>
      <c r="L188" s="43"/>
      <c r="M188" s="43"/>
      <c r="N188" s="43"/>
    </row>
    <row r="189" spans="1:14" ht="48" customHeight="1" x14ac:dyDescent="0.3">
      <c r="A189" s="44" t="s">
        <v>1399</v>
      </c>
      <c r="B189" s="44" t="s">
        <v>1281</v>
      </c>
      <c r="C189" s="44" t="s">
        <v>765</v>
      </c>
      <c r="D189" s="44" t="s">
        <v>1400</v>
      </c>
      <c r="E189" s="44" t="s">
        <v>765</v>
      </c>
      <c r="F189" s="44" t="s">
        <v>1401</v>
      </c>
      <c r="G189" s="44" t="s">
        <v>726</v>
      </c>
      <c r="H189" s="44"/>
      <c r="I189" s="44"/>
      <c r="J189" s="44"/>
      <c r="K189" s="44"/>
      <c r="L189" s="44"/>
      <c r="M189" s="44"/>
      <c r="N189" s="44"/>
    </row>
    <row r="190" spans="1:14" ht="48" customHeight="1" x14ac:dyDescent="0.3">
      <c r="A190" s="43" t="s">
        <v>1402</v>
      </c>
      <c r="B190" s="43" t="s">
        <v>1281</v>
      </c>
      <c r="C190" s="43" t="s">
        <v>1185</v>
      </c>
      <c r="D190" s="43" t="s">
        <v>1403</v>
      </c>
      <c r="E190" s="43" t="s">
        <v>1404</v>
      </c>
      <c r="F190" s="43" t="s">
        <v>1405</v>
      </c>
      <c r="G190" s="43" t="s">
        <v>726</v>
      </c>
      <c r="H190" s="43"/>
      <c r="I190" s="43"/>
      <c r="J190" s="43"/>
      <c r="K190" s="43"/>
      <c r="L190" s="43"/>
      <c r="M190" s="43"/>
      <c r="N190" s="43"/>
    </row>
    <row r="191" spans="1:14" ht="48" customHeight="1" x14ac:dyDescent="0.3">
      <c r="A191" s="44" t="s">
        <v>1406</v>
      </c>
      <c r="B191" s="44" t="s">
        <v>1281</v>
      </c>
      <c r="C191" s="44" t="s">
        <v>1185</v>
      </c>
      <c r="D191" s="44" t="s">
        <v>1407</v>
      </c>
      <c r="E191" s="44" t="s">
        <v>1408</v>
      </c>
      <c r="F191" s="44" t="s">
        <v>1409</v>
      </c>
      <c r="G191" s="44" t="s">
        <v>726</v>
      </c>
      <c r="H191" s="44"/>
      <c r="I191" s="44"/>
      <c r="J191" s="44"/>
      <c r="K191" s="44"/>
      <c r="L191" s="44"/>
      <c r="M191" s="44"/>
      <c r="N191" s="44"/>
    </row>
    <row r="192" spans="1:14" ht="48" customHeight="1" x14ac:dyDescent="0.3">
      <c r="A192" s="43" t="s">
        <v>1410</v>
      </c>
      <c r="B192" s="43" t="s">
        <v>1281</v>
      </c>
      <c r="C192" s="43" t="s">
        <v>1237</v>
      </c>
      <c r="D192" s="43" t="s">
        <v>1411</v>
      </c>
      <c r="E192" s="43" t="s">
        <v>1412</v>
      </c>
      <c r="F192" s="43" t="s">
        <v>1413</v>
      </c>
      <c r="G192" s="43" t="s">
        <v>726</v>
      </c>
      <c r="H192" s="43"/>
      <c r="I192" s="43"/>
      <c r="J192" s="43"/>
      <c r="K192" s="43"/>
      <c r="L192" s="43"/>
      <c r="M192" s="43"/>
      <c r="N192" s="43"/>
    </row>
    <row r="193" spans="1:14" ht="48" customHeight="1" x14ac:dyDescent="0.3">
      <c r="A193" s="44" t="s">
        <v>1414</v>
      </c>
      <c r="B193" s="44" t="s">
        <v>1281</v>
      </c>
      <c r="C193" s="44" t="s">
        <v>1185</v>
      </c>
      <c r="D193" s="44" t="s">
        <v>1415</v>
      </c>
      <c r="E193" s="44" t="s">
        <v>1416</v>
      </c>
      <c r="F193" s="44" t="s">
        <v>1417</v>
      </c>
      <c r="G193" s="44" t="s">
        <v>1418</v>
      </c>
      <c r="H193" s="44"/>
      <c r="I193" s="44"/>
      <c r="J193" s="44"/>
      <c r="K193" s="44"/>
      <c r="L193" s="44"/>
      <c r="M193" s="44"/>
      <c r="N193" s="44"/>
    </row>
    <row r="194" spans="1:14" ht="48" customHeight="1" x14ac:dyDescent="0.3">
      <c r="A194" s="43" t="s">
        <v>1419</v>
      </c>
      <c r="B194" s="43" t="s">
        <v>1281</v>
      </c>
      <c r="C194" s="43" t="s">
        <v>765</v>
      </c>
      <c r="D194" s="43" t="s">
        <v>1420</v>
      </c>
      <c r="E194" s="43" t="s">
        <v>765</v>
      </c>
      <c r="F194" s="43" t="s">
        <v>1421</v>
      </c>
      <c r="G194" s="43" t="s">
        <v>726</v>
      </c>
      <c r="H194" s="43"/>
      <c r="I194" s="43"/>
      <c r="J194" s="43"/>
      <c r="K194" s="43"/>
      <c r="L194" s="43"/>
      <c r="M194" s="43"/>
      <c r="N194" s="43"/>
    </row>
    <row r="195" spans="1:14" ht="48" customHeight="1" x14ac:dyDescent="0.3">
      <c r="A195" s="44" t="s">
        <v>1422</v>
      </c>
      <c r="B195" s="44" t="s">
        <v>1281</v>
      </c>
      <c r="C195" s="44" t="s">
        <v>765</v>
      </c>
      <c r="D195" s="44" t="s">
        <v>1423</v>
      </c>
      <c r="E195" s="44" t="s">
        <v>765</v>
      </c>
      <c r="F195" s="44" t="s">
        <v>1424</v>
      </c>
      <c r="G195" s="44" t="s">
        <v>726</v>
      </c>
      <c r="H195" s="44"/>
      <c r="I195" s="44"/>
      <c r="J195" s="44"/>
      <c r="K195" s="44"/>
      <c r="L195" s="44"/>
      <c r="M195" s="44"/>
      <c r="N195" s="44"/>
    </row>
    <row r="196" spans="1:14" ht="48" customHeight="1" x14ac:dyDescent="0.3">
      <c r="A196" s="43" t="s">
        <v>1425</v>
      </c>
      <c r="B196" s="43" t="s">
        <v>1281</v>
      </c>
      <c r="C196" s="43" t="s">
        <v>765</v>
      </c>
      <c r="D196" s="43" t="s">
        <v>1426</v>
      </c>
      <c r="E196" s="43" t="s">
        <v>765</v>
      </c>
      <c r="F196" s="43" t="s">
        <v>1427</v>
      </c>
      <c r="G196" s="43" t="s">
        <v>726</v>
      </c>
      <c r="H196" s="43"/>
      <c r="I196" s="43"/>
      <c r="J196" s="43"/>
      <c r="K196" s="43"/>
      <c r="L196" s="43"/>
      <c r="M196" s="43"/>
      <c r="N196" s="43"/>
    </row>
    <row r="197" spans="1:14" ht="48" customHeight="1" x14ac:dyDescent="0.3">
      <c r="A197" s="44" t="s">
        <v>1428</v>
      </c>
      <c r="B197" s="44" t="s">
        <v>1281</v>
      </c>
      <c r="C197" s="44" t="s">
        <v>1185</v>
      </c>
      <c r="D197" s="44" t="s">
        <v>1429</v>
      </c>
      <c r="E197" s="44" t="s">
        <v>1430</v>
      </c>
      <c r="F197" s="44" t="s">
        <v>1431</v>
      </c>
      <c r="G197" s="44" t="s">
        <v>726</v>
      </c>
      <c r="H197" s="44"/>
      <c r="I197" s="44"/>
      <c r="J197" s="44"/>
      <c r="K197" s="44"/>
      <c r="L197" s="44"/>
      <c r="M197" s="44"/>
      <c r="N197" s="44"/>
    </row>
    <row r="198" spans="1:14" ht="48" customHeight="1" x14ac:dyDescent="0.3">
      <c r="A198" s="43" t="s">
        <v>1432</v>
      </c>
      <c r="B198" s="43" t="s">
        <v>1281</v>
      </c>
      <c r="C198" s="43" t="s">
        <v>1237</v>
      </c>
      <c r="D198" s="43" t="s">
        <v>1433</v>
      </c>
      <c r="E198" s="43" t="s">
        <v>1434</v>
      </c>
      <c r="F198" s="43" t="s">
        <v>1435</v>
      </c>
      <c r="G198" s="43" t="s">
        <v>726</v>
      </c>
      <c r="H198" s="43"/>
      <c r="I198" s="43"/>
      <c r="J198" s="43"/>
      <c r="K198" s="43"/>
      <c r="L198" s="43"/>
      <c r="M198" s="43"/>
      <c r="N198" s="43"/>
    </row>
    <row r="199" spans="1:14" ht="48" customHeight="1" x14ac:dyDescent="0.3">
      <c r="A199" s="44" t="s">
        <v>1436</v>
      </c>
      <c r="B199" s="44" t="s">
        <v>1281</v>
      </c>
      <c r="C199" s="44" t="s">
        <v>765</v>
      </c>
      <c r="D199" s="44" t="s">
        <v>1437</v>
      </c>
      <c r="E199" s="44" t="s">
        <v>765</v>
      </c>
      <c r="F199" s="44" t="s">
        <v>1438</v>
      </c>
      <c r="G199" s="44" t="s">
        <v>726</v>
      </c>
      <c r="H199" s="44"/>
      <c r="I199" s="44"/>
      <c r="J199" s="44"/>
      <c r="K199" s="44"/>
      <c r="L199" s="44"/>
      <c r="M199" s="44"/>
      <c r="N199" s="44"/>
    </row>
    <row r="200" spans="1:14" ht="48" customHeight="1" x14ac:dyDescent="0.3">
      <c r="A200" s="43" t="s">
        <v>1439</v>
      </c>
      <c r="B200" s="43" t="s">
        <v>1281</v>
      </c>
      <c r="C200" s="43" t="s">
        <v>765</v>
      </c>
      <c r="D200" s="43" t="s">
        <v>1440</v>
      </c>
      <c r="E200" s="43" t="s">
        <v>765</v>
      </c>
      <c r="F200" s="43" t="s">
        <v>1441</v>
      </c>
      <c r="G200" s="43" t="s">
        <v>726</v>
      </c>
      <c r="H200" s="43"/>
      <c r="I200" s="43"/>
      <c r="J200" s="43"/>
      <c r="K200" s="43"/>
      <c r="L200" s="43"/>
      <c r="M200" s="43"/>
      <c r="N200" s="43"/>
    </row>
    <row r="201" spans="1:14" ht="48" customHeight="1" x14ac:dyDescent="0.3">
      <c r="A201" s="44" t="s">
        <v>1442</v>
      </c>
      <c r="B201" s="44" t="s">
        <v>1281</v>
      </c>
      <c r="C201" s="44" t="s">
        <v>1185</v>
      </c>
      <c r="D201" s="44" t="s">
        <v>1443</v>
      </c>
      <c r="E201" s="44" t="s">
        <v>1444</v>
      </c>
      <c r="F201" s="44" t="s">
        <v>1445</v>
      </c>
      <c r="G201" s="44" t="s">
        <v>726</v>
      </c>
      <c r="H201" s="44"/>
      <c r="I201" s="44"/>
      <c r="J201" s="44"/>
      <c r="K201" s="44"/>
      <c r="L201" s="44"/>
      <c r="M201" s="44"/>
      <c r="N201" s="44"/>
    </row>
    <row r="202" spans="1:14" ht="48" customHeight="1" x14ac:dyDescent="0.3">
      <c r="A202" s="43" t="s">
        <v>1446</v>
      </c>
      <c r="B202" s="43" t="s">
        <v>1281</v>
      </c>
      <c r="C202" s="43" t="s">
        <v>765</v>
      </c>
      <c r="D202" s="43" t="s">
        <v>1447</v>
      </c>
      <c r="E202" s="43" t="s">
        <v>765</v>
      </c>
      <c r="F202" s="43" t="s">
        <v>1448</v>
      </c>
      <c r="G202" s="43" t="s">
        <v>726</v>
      </c>
      <c r="H202" s="43"/>
      <c r="I202" s="43"/>
      <c r="J202" s="43"/>
      <c r="K202" s="43"/>
      <c r="L202" s="43"/>
      <c r="M202" s="43"/>
      <c r="N202" s="43"/>
    </row>
    <row r="203" spans="1:14" ht="48" customHeight="1" x14ac:dyDescent="0.3">
      <c r="A203" s="44" t="s">
        <v>1449</v>
      </c>
      <c r="B203" s="44" t="s">
        <v>1281</v>
      </c>
      <c r="C203" s="44" t="s">
        <v>1185</v>
      </c>
      <c r="D203" s="44" t="s">
        <v>1450</v>
      </c>
      <c r="E203" s="44" t="s">
        <v>1451</v>
      </c>
      <c r="F203" s="44" t="s">
        <v>1452</v>
      </c>
      <c r="G203" s="44" t="s">
        <v>726</v>
      </c>
      <c r="H203" s="44"/>
      <c r="I203" s="44"/>
      <c r="J203" s="44"/>
      <c r="K203" s="44"/>
      <c r="L203" s="44"/>
      <c r="M203" s="44"/>
      <c r="N203" s="44"/>
    </row>
    <row r="204" spans="1:14" ht="48" customHeight="1" x14ac:dyDescent="0.3">
      <c r="A204" s="43" t="s">
        <v>1453</v>
      </c>
      <c r="B204" s="43" t="s">
        <v>1281</v>
      </c>
      <c r="C204" s="43" t="s">
        <v>765</v>
      </c>
      <c r="D204" s="43" t="s">
        <v>1454</v>
      </c>
      <c r="E204" s="43" t="s">
        <v>765</v>
      </c>
      <c r="F204" s="43" t="s">
        <v>1455</v>
      </c>
      <c r="G204" s="43" t="s">
        <v>726</v>
      </c>
      <c r="H204" s="43"/>
      <c r="I204" s="43"/>
      <c r="J204" s="43"/>
      <c r="K204" s="43"/>
      <c r="L204" s="43"/>
      <c r="M204" s="43"/>
      <c r="N204" s="43"/>
    </row>
    <row r="205" spans="1:14" ht="48" customHeight="1" x14ac:dyDescent="0.3">
      <c r="A205" s="44" t="s">
        <v>1456</v>
      </c>
      <c r="B205" s="44" t="s">
        <v>1281</v>
      </c>
      <c r="C205" s="44" t="s">
        <v>1185</v>
      </c>
      <c r="D205" s="44" t="s">
        <v>1457</v>
      </c>
      <c r="E205" s="44" t="s">
        <v>1458</v>
      </c>
      <c r="F205" s="44" t="s">
        <v>1459</v>
      </c>
      <c r="G205" s="44" t="s">
        <v>726</v>
      </c>
      <c r="H205" s="44"/>
      <c r="I205" s="44"/>
      <c r="J205" s="44"/>
      <c r="K205" s="44"/>
      <c r="L205" s="44"/>
      <c r="M205" s="44"/>
      <c r="N205" s="44"/>
    </row>
    <row r="206" spans="1:14" ht="48" customHeight="1" x14ac:dyDescent="0.3">
      <c r="A206" s="43" t="s">
        <v>1460</v>
      </c>
      <c r="B206" s="43" t="s">
        <v>1281</v>
      </c>
      <c r="C206" s="43" t="s">
        <v>765</v>
      </c>
      <c r="D206" s="43" t="s">
        <v>1461</v>
      </c>
      <c r="E206" s="43" t="s">
        <v>765</v>
      </c>
      <c r="F206" s="43" t="s">
        <v>1462</v>
      </c>
      <c r="G206" s="43" t="s">
        <v>726</v>
      </c>
      <c r="H206" s="43"/>
      <c r="I206" s="43"/>
      <c r="J206" s="43"/>
      <c r="K206" s="43"/>
      <c r="L206" s="43"/>
      <c r="M206" s="43"/>
      <c r="N206" s="43"/>
    </row>
    <row r="207" spans="1:14" ht="48" customHeight="1" x14ac:dyDescent="0.3">
      <c r="A207" s="44" t="s">
        <v>1463</v>
      </c>
      <c r="B207" s="44" t="s">
        <v>1281</v>
      </c>
      <c r="C207" s="44" t="s">
        <v>1185</v>
      </c>
      <c r="D207" s="44" t="s">
        <v>1464</v>
      </c>
      <c r="E207" s="44" t="s">
        <v>1465</v>
      </c>
      <c r="F207" s="44" t="s">
        <v>1466</v>
      </c>
      <c r="G207" s="44" t="s">
        <v>726</v>
      </c>
      <c r="H207" s="44"/>
      <c r="I207" s="44"/>
      <c r="J207" s="44"/>
      <c r="K207" s="44"/>
      <c r="L207" s="44"/>
      <c r="M207" s="44"/>
      <c r="N207" s="44"/>
    </row>
    <row r="208" spans="1:14" ht="48" customHeight="1" x14ac:dyDescent="0.3">
      <c r="A208" s="43" t="s">
        <v>1467</v>
      </c>
      <c r="B208" s="43" t="s">
        <v>1281</v>
      </c>
      <c r="C208" s="43" t="s">
        <v>765</v>
      </c>
      <c r="D208" s="43" t="s">
        <v>1468</v>
      </c>
      <c r="E208" s="43" t="s">
        <v>765</v>
      </c>
      <c r="F208" s="43" t="s">
        <v>1469</v>
      </c>
      <c r="G208" s="43" t="s">
        <v>726</v>
      </c>
      <c r="H208" s="43"/>
      <c r="I208" s="43"/>
      <c r="J208" s="43"/>
      <c r="K208" s="43"/>
      <c r="L208" s="43"/>
      <c r="M208" s="43"/>
      <c r="N208" s="43"/>
    </row>
    <row r="209" spans="1:14" ht="48" customHeight="1" x14ac:dyDescent="0.3">
      <c r="A209" s="44" t="s">
        <v>1470</v>
      </c>
      <c r="B209" s="44" t="s">
        <v>1281</v>
      </c>
      <c r="C209" s="44" t="s">
        <v>1185</v>
      </c>
      <c r="D209" s="44" t="s">
        <v>1471</v>
      </c>
      <c r="E209" s="44" t="s">
        <v>1472</v>
      </c>
      <c r="F209" s="44" t="s">
        <v>1473</v>
      </c>
      <c r="G209" s="44" t="s">
        <v>726</v>
      </c>
      <c r="H209" s="44"/>
      <c r="I209" s="44"/>
      <c r="J209" s="44"/>
      <c r="K209" s="44"/>
      <c r="L209" s="44"/>
      <c r="M209" s="44"/>
      <c r="N209" s="44"/>
    </row>
    <row r="210" spans="1:14" ht="21.75" customHeight="1" x14ac:dyDescent="0.3">
      <c r="A210" s="60" t="s">
        <v>1474</v>
      </c>
      <c r="B210" s="60"/>
      <c r="C210" s="60"/>
      <c r="D210" s="60"/>
      <c r="E210" s="60"/>
      <c r="F210" s="60"/>
      <c r="G210" s="60"/>
      <c r="H210" s="60"/>
      <c r="I210" s="60"/>
      <c r="J210" s="60"/>
      <c r="K210" s="60"/>
      <c r="L210" s="60"/>
      <c r="M210" s="60"/>
      <c r="N210" s="60"/>
    </row>
    <row r="211" spans="1:14" ht="48" customHeight="1" x14ac:dyDescent="0.3">
      <c r="A211" s="44" t="s">
        <v>1475</v>
      </c>
      <c r="B211" s="44" t="s">
        <v>1324</v>
      </c>
      <c r="C211" s="44" t="s">
        <v>765</v>
      </c>
      <c r="D211" s="44" t="s">
        <v>1476</v>
      </c>
      <c r="E211" s="44" t="s">
        <v>765</v>
      </c>
      <c r="F211" s="44" t="s">
        <v>1477</v>
      </c>
      <c r="G211" s="44" t="s">
        <v>726</v>
      </c>
      <c r="H211" s="44"/>
      <c r="I211" s="44"/>
      <c r="J211" s="44"/>
      <c r="K211" s="44"/>
      <c r="L211" s="44"/>
      <c r="M211" s="44"/>
      <c r="N211" s="44"/>
    </row>
    <row r="212" spans="1:14" ht="48" customHeight="1" x14ac:dyDescent="0.3">
      <c r="A212" s="43" t="s">
        <v>1478</v>
      </c>
      <c r="B212" s="43" t="s">
        <v>1324</v>
      </c>
      <c r="C212" s="43" t="s">
        <v>765</v>
      </c>
      <c r="D212" s="43" t="s">
        <v>1479</v>
      </c>
      <c r="E212" s="43" t="s">
        <v>765</v>
      </c>
      <c r="F212" s="43" t="s">
        <v>1480</v>
      </c>
      <c r="G212" s="43" t="s">
        <v>726</v>
      </c>
      <c r="H212" s="43"/>
      <c r="I212" s="43"/>
      <c r="J212" s="43"/>
      <c r="K212" s="43"/>
      <c r="L212" s="43"/>
      <c r="M212" s="43"/>
      <c r="N212" s="43"/>
    </row>
    <row r="213" spans="1:14" ht="48" customHeight="1" x14ac:dyDescent="0.3">
      <c r="A213" s="44" t="s">
        <v>1481</v>
      </c>
      <c r="B213" s="44" t="s">
        <v>1324</v>
      </c>
      <c r="C213" s="44" t="s">
        <v>765</v>
      </c>
      <c r="D213" s="44" t="s">
        <v>1482</v>
      </c>
      <c r="E213" s="44" t="s">
        <v>765</v>
      </c>
      <c r="F213" s="44" t="s">
        <v>1329</v>
      </c>
      <c r="G213" s="44" t="s">
        <v>726</v>
      </c>
      <c r="H213" s="44"/>
      <c r="I213" s="44"/>
      <c r="J213" s="44"/>
      <c r="K213" s="44"/>
      <c r="L213" s="44"/>
      <c r="M213" s="44"/>
      <c r="N213" s="44"/>
    </row>
    <row r="214" spans="1:14" ht="48" customHeight="1" x14ac:dyDescent="0.3">
      <c r="A214" s="43" t="s">
        <v>1483</v>
      </c>
      <c r="B214" s="43" t="s">
        <v>894</v>
      </c>
      <c r="C214" s="43" t="s">
        <v>765</v>
      </c>
      <c r="D214" s="43" t="s">
        <v>1484</v>
      </c>
      <c r="E214" s="43" t="s">
        <v>765</v>
      </c>
      <c r="F214" s="43" t="s">
        <v>1335</v>
      </c>
      <c r="G214" s="43" t="s">
        <v>726</v>
      </c>
      <c r="H214" s="43"/>
      <c r="I214" s="43"/>
      <c r="J214" s="43"/>
      <c r="K214" s="43"/>
      <c r="L214" s="43"/>
      <c r="M214" s="43"/>
      <c r="N214" s="43"/>
    </row>
    <row r="215" spans="1:14" ht="48" customHeight="1" x14ac:dyDescent="0.3">
      <c r="A215" s="44" t="s">
        <v>1485</v>
      </c>
      <c r="B215" s="44" t="s">
        <v>1324</v>
      </c>
      <c r="C215" s="44" t="s">
        <v>765</v>
      </c>
      <c r="D215" s="44" t="s">
        <v>1486</v>
      </c>
      <c r="E215" s="44" t="s">
        <v>765</v>
      </c>
      <c r="F215" s="44" t="s">
        <v>1487</v>
      </c>
      <c r="G215" s="44" t="s">
        <v>726</v>
      </c>
      <c r="H215" s="44"/>
      <c r="I215" s="44"/>
      <c r="J215" s="44"/>
      <c r="K215" s="44"/>
      <c r="L215" s="44"/>
      <c r="M215" s="44"/>
      <c r="N215" s="44"/>
    </row>
    <row r="216" spans="1:14" ht="48" customHeight="1" x14ac:dyDescent="0.3">
      <c r="A216" s="43" t="s">
        <v>1488</v>
      </c>
      <c r="B216" s="43" t="s">
        <v>1324</v>
      </c>
      <c r="C216" s="43" t="s">
        <v>765</v>
      </c>
      <c r="D216" s="43" t="s">
        <v>1489</v>
      </c>
      <c r="E216" s="43" t="s">
        <v>765</v>
      </c>
      <c r="F216" s="43" t="s">
        <v>1490</v>
      </c>
      <c r="G216" s="43" t="s">
        <v>726</v>
      </c>
      <c r="H216" s="43"/>
      <c r="I216" s="43"/>
      <c r="J216" s="43"/>
      <c r="K216" s="43"/>
      <c r="L216" s="43"/>
      <c r="M216" s="43"/>
      <c r="N216" s="43"/>
    </row>
    <row r="217" spans="1:14" ht="48" customHeight="1" x14ac:dyDescent="0.3">
      <c r="A217" s="44" t="s">
        <v>1491</v>
      </c>
      <c r="B217" s="44" t="s">
        <v>1324</v>
      </c>
      <c r="C217" s="44" t="s">
        <v>765</v>
      </c>
      <c r="D217" s="44" t="s">
        <v>1492</v>
      </c>
      <c r="E217" s="44" t="s">
        <v>765</v>
      </c>
      <c r="F217" s="44" t="s">
        <v>1493</v>
      </c>
      <c r="G217" s="44" t="s">
        <v>726</v>
      </c>
      <c r="H217" s="44"/>
      <c r="I217" s="44"/>
      <c r="J217" s="44"/>
      <c r="K217" s="44"/>
      <c r="L217" s="44"/>
      <c r="M217" s="44"/>
      <c r="N217" s="44"/>
    </row>
    <row r="218" spans="1:14" ht="48" customHeight="1" x14ac:dyDescent="0.3">
      <c r="A218" s="43" t="s">
        <v>1494</v>
      </c>
      <c r="B218" s="43" t="s">
        <v>1324</v>
      </c>
      <c r="C218" s="43" t="s">
        <v>765</v>
      </c>
      <c r="D218" s="43" t="s">
        <v>1495</v>
      </c>
      <c r="E218" s="43" t="s">
        <v>765</v>
      </c>
      <c r="F218" s="43" t="s">
        <v>1496</v>
      </c>
      <c r="G218" s="43" t="s">
        <v>726</v>
      </c>
      <c r="H218" s="43"/>
      <c r="I218" s="43"/>
      <c r="J218" s="43"/>
      <c r="K218" s="43"/>
      <c r="L218" s="43"/>
      <c r="M218" s="43"/>
      <c r="N218" s="43"/>
    </row>
    <row r="219" spans="1:14" ht="21.75" customHeight="1" x14ac:dyDescent="0.3">
      <c r="A219" s="60" t="s">
        <v>1497</v>
      </c>
      <c r="B219" s="60"/>
      <c r="C219" s="60"/>
      <c r="D219" s="60"/>
      <c r="E219" s="60"/>
      <c r="F219" s="60"/>
      <c r="G219" s="60"/>
      <c r="H219" s="60"/>
      <c r="I219" s="60"/>
      <c r="J219" s="60"/>
      <c r="K219" s="60"/>
      <c r="L219" s="60"/>
      <c r="M219" s="60"/>
      <c r="N219" s="60"/>
    </row>
    <row r="220" spans="1:14" ht="48" customHeight="1" x14ac:dyDescent="0.3">
      <c r="A220" s="43" t="s">
        <v>1498</v>
      </c>
      <c r="B220" s="43" t="s">
        <v>1341</v>
      </c>
      <c r="C220" s="43" t="s">
        <v>765</v>
      </c>
      <c r="D220" s="43" t="s">
        <v>1499</v>
      </c>
      <c r="E220" s="43" t="s">
        <v>765</v>
      </c>
      <c r="F220" s="43" t="s">
        <v>1500</v>
      </c>
      <c r="G220" s="43" t="s">
        <v>726</v>
      </c>
      <c r="H220" s="43"/>
      <c r="I220" s="43"/>
      <c r="J220" s="43"/>
      <c r="K220" s="43"/>
      <c r="L220" s="43"/>
      <c r="M220" s="43"/>
      <c r="N220" s="43"/>
    </row>
    <row r="221" spans="1:14" ht="48" customHeight="1" x14ac:dyDescent="0.3">
      <c r="A221" s="44" t="s">
        <v>1501</v>
      </c>
      <c r="B221" s="44" t="s">
        <v>1341</v>
      </c>
      <c r="C221" s="44" t="s">
        <v>765</v>
      </c>
      <c r="D221" s="44" t="s">
        <v>1502</v>
      </c>
      <c r="E221" s="44" t="s">
        <v>765</v>
      </c>
      <c r="F221" s="44" t="s">
        <v>1352</v>
      </c>
      <c r="G221" s="44" t="s">
        <v>726</v>
      </c>
      <c r="H221" s="44"/>
      <c r="I221" s="44"/>
      <c r="J221" s="44"/>
      <c r="K221" s="44"/>
      <c r="L221" s="44"/>
      <c r="M221" s="44"/>
      <c r="N221" s="44"/>
    </row>
    <row r="222" spans="1:14" ht="48" customHeight="1" x14ac:dyDescent="0.3">
      <c r="A222" s="43" t="s">
        <v>1503</v>
      </c>
      <c r="B222" s="43" t="s">
        <v>1341</v>
      </c>
      <c r="C222" s="43" t="s">
        <v>765</v>
      </c>
      <c r="D222" s="43" t="s">
        <v>1504</v>
      </c>
      <c r="E222" s="43" t="s">
        <v>765</v>
      </c>
      <c r="F222" s="43" t="s">
        <v>1505</v>
      </c>
      <c r="G222" s="43" t="s">
        <v>726</v>
      </c>
      <c r="H222" s="43"/>
      <c r="I222" s="43"/>
      <c r="J222" s="43"/>
      <c r="K222" s="43"/>
      <c r="L222" s="43"/>
      <c r="M222" s="43"/>
      <c r="N222" s="43"/>
    </row>
    <row r="223" spans="1:14" ht="48" customHeight="1" x14ac:dyDescent="0.3">
      <c r="A223" s="44" t="s">
        <v>1506</v>
      </c>
      <c r="B223" s="44" t="s">
        <v>1341</v>
      </c>
      <c r="C223" s="44" t="s">
        <v>765</v>
      </c>
      <c r="D223" s="44" t="s">
        <v>1507</v>
      </c>
      <c r="E223" s="44" t="s">
        <v>765</v>
      </c>
      <c r="F223" s="44" t="s">
        <v>1508</v>
      </c>
      <c r="G223" s="44" t="s">
        <v>726</v>
      </c>
      <c r="H223" s="44"/>
      <c r="I223" s="44"/>
      <c r="J223" s="44"/>
      <c r="K223" s="44"/>
      <c r="L223" s="44"/>
      <c r="M223" s="44"/>
      <c r="N223" s="44"/>
    </row>
    <row r="224" spans="1:14" ht="48" customHeight="1" x14ac:dyDescent="0.3">
      <c r="A224" s="43" t="s">
        <v>1509</v>
      </c>
      <c r="B224" s="43" t="s">
        <v>1341</v>
      </c>
      <c r="C224" s="43" t="s">
        <v>765</v>
      </c>
      <c r="D224" s="43" t="s">
        <v>1510</v>
      </c>
      <c r="E224" s="43" t="s">
        <v>765</v>
      </c>
      <c r="F224" s="43" t="s">
        <v>1511</v>
      </c>
      <c r="G224" s="43" t="s">
        <v>726</v>
      </c>
      <c r="H224" s="43"/>
      <c r="I224" s="43"/>
      <c r="J224" s="43"/>
      <c r="K224" s="43"/>
      <c r="L224" s="43"/>
      <c r="M224" s="43"/>
      <c r="N224" s="43"/>
    </row>
    <row r="225" spans="1:14" ht="48" customHeight="1" x14ac:dyDescent="0.3">
      <c r="A225" s="44" t="s">
        <v>1512</v>
      </c>
      <c r="B225" s="44" t="s">
        <v>1341</v>
      </c>
      <c r="C225" s="44" t="s">
        <v>765</v>
      </c>
      <c r="D225" s="44" t="s">
        <v>1513</v>
      </c>
      <c r="E225" s="44" t="s">
        <v>765</v>
      </c>
      <c r="F225" s="44" t="s">
        <v>1514</v>
      </c>
      <c r="G225" s="44" t="s">
        <v>726</v>
      </c>
      <c r="H225" s="44"/>
      <c r="I225" s="44"/>
      <c r="J225" s="44"/>
      <c r="K225" s="44"/>
      <c r="L225" s="44"/>
      <c r="M225" s="44"/>
      <c r="N225" s="44"/>
    </row>
    <row r="226" spans="1:14" ht="48" customHeight="1" x14ac:dyDescent="0.3">
      <c r="A226" s="43" t="s">
        <v>1515</v>
      </c>
      <c r="B226" s="43" t="s">
        <v>1341</v>
      </c>
      <c r="C226" s="43" t="s">
        <v>765</v>
      </c>
      <c r="D226" s="43" t="s">
        <v>1516</v>
      </c>
      <c r="E226" s="43" t="s">
        <v>765</v>
      </c>
      <c r="F226" s="43" t="s">
        <v>1517</v>
      </c>
      <c r="G226" s="43" t="s">
        <v>726</v>
      </c>
      <c r="H226" s="43"/>
      <c r="I226" s="43"/>
      <c r="J226" s="43"/>
      <c r="K226" s="43"/>
      <c r="L226" s="43"/>
      <c r="M226" s="43"/>
      <c r="N226" s="43"/>
    </row>
    <row r="227" spans="1:14" ht="48" customHeight="1" x14ac:dyDescent="0.3">
      <c r="A227" s="44" t="s">
        <v>1518</v>
      </c>
      <c r="B227" s="44" t="s">
        <v>1341</v>
      </c>
      <c r="C227" s="44" t="s">
        <v>765</v>
      </c>
      <c r="D227" s="44" t="s">
        <v>1519</v>
      </c>
      <c r="E227" s="44" t="s">
        <v>765</v>
      </c>
      <c r="F227" s="44" t="s">
        <v>1520</v>
      </c>
      <c r="G227" s="44" t="s">
        <v>726</v>
      </c>
      <c r="H227" s="44"/>
      <c r="I227" s="44"/>
      <c r="J227" s="44"/>
      <c r="K227" s="44"/>
      <c r="L227" s="44"/>
      <c r="M227" s="44"/>
      <c r="N227" s="44"/>
    </row>
    <row r="228" spans="1:14" ht="21.75" customHeight="1" x14ac:dyDescent="0.3">
      <c r="A228" s="60" t="s">
        <v>1521</v>
      </c>
      <c r="B228" s="60"/>
      <c r="C228" s="60"/>
      <c r="D228" s="60"/>
      <c r="E228" s="60"/>
      <c r="F228" s="60"/>
      <c r="G228" s="60"/>
      <c r="H228" s="60"/>
      <c r="I228" s="60"/>
      <c r="J228" s="60"/>
      <c r="K228" s="60"/>
      <c r="L228" s="60"/>
      <c r="M228" s="60"/>
      <c r="N228" s="60"/>
    </row>
    <row r="229" spans="1:14" ht="48" customHeight="1" x14ac:dyDescent="0.3">
      <c r="A229" s="44" t="s">
        <v>1522</v>
      </c>
      <c r="B229" s="44" t="s">
        <v>1355</v>
      </c>
      <c r="C229" s="44" t="s">
        <v>765</v>
      </c>
      <c r="D229" s="44" t="s">
        <v>1523</v>
      </c>
      <c r="E229" s="44" t="s">
        <v>765</v>
      </c>
      <c r="F229" s="44" t="s">
        <v>1524</v>
      </c>
      <c r="G229" s="44" t="s">
        <v>726</v>
      </c>
      <c r="H229" s="44"/>
      <c r="I229" s="44"/>
      <c r="J229" s="44"/>
      <c r="K229" s="44"/>
      <c r="L229" s="44"/>
      <c r="M229" s="44"/>
      <c r="N229" s="44"/>
    </row>
    <row r="230" spans="1:14" ht="48" customHeight="1" x14ac:dyDescent="0.3">
      <c r="A230" s="43" t="s">
        <v>1525</v>
      </c>
      <c r="B230" s="43" t="s">
        <v>1355</v>
      </c>
      <c r="C230" s="43" t="s">
        <v>765</v>
      </c>
      <c r="D230" s="43" t="s">
        <v>1526</v>
      </c>
      <c r="E230" s="43" t="s">
        <v>765</v>
      </c>
      <c r="F230" s="43" t="s">
        <v>1366</v>
      </c>
      <c r="G230" s="43" t="s">
        <v>726</v>
      </c>
      <c r="H230" s="43"/>
      <c r="I230" s="43"/>
      <c r="J230" s="43"/>
      <c r="K230" s="43"/>
      <c r="L230" s="43"/>
      <c r="M230" s="43"/>
      <c r="N230" s="43"/>
    </row>
    <row r="231" spans="1:14" ht="48" customHeight="1" x14ac:dyDescent="0.3">
      <c r="A231" s="44" t="s">
        <v>1527</v>
      </c>
      <c r="B231" s="44" t="s">
        <v>1355</v>
      </c>
      <c r="C231" s="44" t="s">
        <v>765</v>
      </c>
      <c r="D231" s="44" t="s">
        <v>1528</v>
      </c>
      <c r="E231" s="44" t="s">
        <v>765</v>
      </c>
      <c r="F231" s="44" t="s">
        <v>1529</v>
      </c>
      <c r="G231" s="44" t="s">
        <v>726</v>
      </c>
      <c r="H231" s="44"/>
      <c r="I231" s="44"/>
      <c r="J231" s="44"/>
      <c r="K231" s="44"/>
      <c r="L231" s="44"/>
      <c r="M231" s="44"/>
      <c r="N231" s="44"/>
    </row>
    <row r="232" spans="1:14" ht="48" customHeight="1" x14ac:dyDescent="0.3">
      <c r="A232" s="43" t="s">
        <v>1530</v>
      </c>
      <c r="B232" s="43" t="s">
        <v>1355</v>
      </c>
      <c r="C232" s="43" t="s">
        <v>765</v>
      </c>
      <c r="D232" s="43" t="s">
        <v>1531</v>
      </c>
      <c r="E232" s="43" t="s">
        <v>765</v>
      </c>
      <c r="F232" s="43" t="s">
        <v>1532</v>
      </c>
      <c r="G232" s="43" t="s">
        <v>726</v>
      </c>
      <c r="H232" s="43"/>
      <c r="I232" s="43"/>
      <c r="J232" s="43"/>
      <c r="K232" s="43"/>
      <c r="L232" s="43"/>
      <c r="M232" s="43"/>
      <c r="N232" s="43"/>
    </row>
    <row r="233" spans="1:14" ht="48" customHeight="1" x14ac:dyDescent="0.3">
      <c r="A233" s="44" t="s">
        <v>1533</v>
      </c>
      <c r="B233" s="44" t="s">
        <v>1355</v>
      </c>
      <c r="C233" s="44" t="s">
        <v>765</v>
      </c>
      <c r="D233" s="44" t="s">
        <v>1534</v>
      </c>
      <c r="E233" s="44" t="s">
        <v>765</v>
      </c>
      <c r="F233" s="44" t="s">
        <v>1535</v>
      </c>
      <c r="G233" s="44" t="s">
        <v>726</v>
      </c>
      <c r="H233" s="44"/>
      <c r="I233" s="44"/>
      <c r="J233" s="44"/>
      <c r="K233" s="44"/>
      <c r="L233" s="44"/>
      <c r="M233" s="44"/>
      <c r="N233" s="44"/>
    </row>
    <row r="234" spans="1:14" ht="48" customHeight="1" x14ac:dyDescent="0.3">
      <c r="A234" s="43" t="s">
        <v>1536</v>
      </c>
      <c r="B234" s="43" t="s">
        <v>1355</v>
      </c>
      <c r="C234" s="43" t="s">
        <v>765</v>
      </c>
      <c r="D234" s="43" t="s">
        <v>1537</v>
      </c>
      <c r="E234" s="43" t="s">
        <v>765</v>
      </c>
      <c r="F234" s="43" t="s">
        <v>1538</v>
      </c>
      <c r="G234" s="43" t="s">
        <v>726</v>
      </c>
      <c r="H234" s="43"/>
      <c r="I234" s="43"/>
      <c r="J234" s="43"/>
      <c r="K234" s="43"/>
      <c r="L234" s="43"/>
      <c r="M234" s="43"/>
      <c r="N234" s="43"/>
    </row>
    <row r="235" spans="1:14" ht="48" customHeight="1" x14ac:dyDescent="0.3">
      <c r="A235" s="44" t="s">
        <v>1539</v>
      </c>
      <c r="B235" s="44" t="s">
        <v>1355</v>
      </c>
      <c r="C235" s="44" t="s">
        <v>765</v>
      </c>
      <c r="D235" s="44" t="s">
        <v>1540</v>
      </c>
      <c r="E235" s="44" t="s">
        <v>765</v>
      </c>
      <c r="F235" s="44" t="s">
        <v>1541</v>
      </c>
      <c r="G235" s="44" t="s">
        <v>726</v>
      </c>
      <c r="H235" s="44"/>
      <c r="I235" s="44"/>
      <c r="J235" s="44"/>
      <c r="K235" s="44"/>
      <c r="L235" s="44"/>
      <c r="M235" s="44"/>
      <c r="N235" s="44"/>
    </row>
    <row r="236" spans="1:14" ht="48" customHeight="1" x14ac:dyDescent="0.3">
      <c r="A236" s="43" t="s">
        <v>1542</v>
      </c>
      <c r="B236" s="43" t="s">
        <v>1355</v>
      </c>
      <c r="C236" s="43" t="s">
        <v>765</v>
      </c>
      <c r="D236" s="43" t="s">
        <v>1543</v>
      </c>
      <c r="E236" s="43" t="s">
        <v>765</v>
      </c>
      <c r="F236" s="43" t="s">
        <v>1544</v>
      </c>
      <c r="G236" s="43" t="s">
        <v>726</v>
      </c>
      <c r="H236" s="43"/>
      <c r="I236" s="43"/>
      <c r="J236" s="43"/>
      <c r="K236" s="43"/>
      <c r="L236" s="43"/>
      <c r="M236" s="43"/>
      <c r="N236" s="43"/>
    </row>
    <row r="237" spans="1:14" ht="21.75" customHeight="1" x14ac:dyDescent="0.3">
      <c r="A237" s="60" t="s">
        <v>1545</v>
      </c>
      <c r="B237" s="60"/>
      <c r="C237" s="60"/>
      <c r="D237" s="60"/>
      <c r="E237" s="60"/>
      <c r="F237" s="60"/>
      <c r="G237" s="60"/>
      <c r="H237" s="60"/>
      <c r="I237" s="60"/>
      <c r="J237" s="60"/>
      <c r="K237" s="60"/>
      <c r="L237" s="60"/>
      <c r="M237" s="60"/>
      <c r="N237" s="60"/>
    </row>
    <row r="238" spans="1:14" ht="48" customHeight="1" x14ac:dyDescent="0.3">
      <c r="A238" s="43" t="s">
        <v>1546</v>
      </c>
      <c r="B238" s="43" t="s">
        <v>1369</v>
      </c>
      <c r="C238" s="43" t="s">
        <v>765</v>
      </c>
      <c r="D238" s="43" t="s">
        <v>1547</v>
      </c>
      <c r="E238" s="43" t="s">
        <v>765</v>
      </c>
      <c r="F238" s="43" t="s">
        <v>1548</v>
      </c>
      <c r="G238" s="43" t="s">
        <v>1372</v>
      </c>
      <c r="H238" s="43"/>
      <c r="I238" s="43"/>
      <c r="J238" s="43"/>
      <c r="K238" s="43"/>
      <c r="L238" s="43"/>
      <c r="M238" s="43"/>
      <c r="N238" s="43"/>
    </row>
    <row r="239" spans="1:14" ht="48" customHeight="1" x14ac:dyDescent="0.3">
      <c r="A239" s="44" t="s">
        <v>1549</v>
      </c>
      <c r="B239" s="44" t="s">
        <v>1369</v>
      </c>
      <c r="C239" s="44" t="s">
        <v>765</v>
      </c>
      <c r="D239" s="44" t="s">
        <v>1550</v>
      </c>
      <c r="E239" s="44" t="s">
        <v>765</v>
      </c>
      <c r="F239" s="44" t="s">
        <v>1551</v>
      </c>
      <c r="G239" s="44" t="s">
        <v>1372</v>
      </c>
      <c r="H239" s="44"/>
      <c r="I239" s="44"/>
      <c r="J239" s="44"/>
      <c r="K239" s="44"/>
      <c r="L239" s="44"/>
      <c r="M239" s="44"/>
      <c r="N239" s="44"/>
    </row>
    <row r="240" spans="1:14" ht="48" customHeight="1" x14ac:dyDescent="0.3">
      <c r="A240" s="43" t="s">
        <v>1552</v>
      </c>
      <c r="B240" s="43" t="s">
        <v>1369</v>
      </c>
      <c r="C240" s="43" t="s">
        <v>765</v>
      </c>
      <c r="D240" s="43" t="s">
        <v>1553</v>
      </c>
      <c r="E240" s="43" t="s">
        <v>765</v>
      </c>
      <c r="F240" s="43" t="s">
        <v>1554</v>
      </c>
      <c r="G240" s="43" t="s">
        <v>1372</v>
      </c>
      <c r="H240" s="43"/>
      <c r="I240" s="43"/>
      <c r="J240" s="43"/>
      <c r="K240" s="43"/>
      <c r="L240" s="43"/>
      <c r="M240" s="43"/>
      <c r="N240" s="43"/>
    </row>
    <row r="241" spans="1:14" ht="48" customHeight="1" x14ac:dyDescent="0.3">
      <c r="A241" s="44" t="s">
        <v>1555</v>
      </c>
      <c r="B241" s="44" t="s">
        <v>1369</v>
      </c>
      <c r="C241" s="44" t="s">
        <v>765</v>
      </c>
      <c r="D241" s="44" t="s">
        <v>1556</v>
      </c>
      <c r="E241" s="44" t="s">
        <v>765</v>
      </c>
      <c r="F241" s="44" t="s">
        <v>1557</v>
      </c>
      <c r="G241" s="44" t="s">
        <v>1372</v>
      </c>
      <c r="H241" s="44"/>
      <c r="I241" s="44"/>
      <c r="J241" s="44"/>
      <c r="K241" s="44"/>
      <c r="L241" s="44"/>
      <c r="M241" s="44"/>
      <c r="N241" s="44"/>
    </row>
    <row r="242" spans="1:14" ht="48" customHeight="1" x14ac:dyDescent="0.3">
      <c r="A242" s="43" t="s">
        <v>1558</v>
      </c>
      <c r="B242" s="43" t="s">
        <v>894</v>
      </c>
      <c r="C242" s="43" t="s">
        <v>765</v>
      </c>
      <c r="D242" s="43" t="s">
        <v>1559</v>
      </c>
      <c r="E242" s="43" t="s">
        <v>765</v>
      </c>
      <c r="F242" s="43" t="s">
        <v>1560</v>
      </c>
      <c r="G242" s="43" t="s">
        <v>1372</v>
      </c>
      <c r="H242" s="43"/>
      <c r="I242" s="43"/>
      <c r="J242" s="43"/>
      <c r="K242" s="43"/>
      <c r="L242" s="43"/>
      <c r="M242" s="43"/>
      <c r="N242" s="43"/>
    </row>
    <row r="243" spans="1:14" ht="48" customHeight="1" x14ac:dyDescent="0.3">
      <c r="A243" s="44" t="s">
        <v>1561</v>
      </c>
      <c r="B243" s="44" t="s">
        <v>1369</v>
      </c>
      <c r="C243" s="44" t="s">
        <v>765</v>
      </c>
      <c r="D243" s="44" t="s">
        <v>1562</v>
      </c>
      <c r="E243" s="44" t="s">
        <v>765</v>
      </c>
      <c r="F243" s="44" t="s">
        <v>1563</v>
      </c>
      <c r="G243" s="44" t="s">
        <v>1372</v>
      </c>
      <c r="H243" s="44"/>
      <c r="I243" s="44"/>
      <c r="J243" s="44"/>
      <c r="K243" s="44"/>
      <c r="L243" s="44"/>
      <c r="M243" s="44"/>
      <c r="N243" s="44"/>
    </row>
    <row r="244" spans="1:14" ht="48" customHeight="1" x14ac:dyDescent="0.3">
      <c r="A244" s="43" t="s">
        <v>1564</v>
      </c>
      <c r="B244" s="43" t="s">
        <v>1369</v>
      </c>
      <c r="C244" s="43" t="s">
        <v>765</v>
      </c>
      <c r="D244" s="43" t="s">
        <v>1565</v>
      </c>
      <c r="E244" s="43" t="s">
        <v>765</v>
      </c>
      <c r="F244" s="43" t="s">
        <v>1566</v>
      </c>
      <c r="G244" s="43" t="s">
        <v>1372</v>
      </c>
      <c r="H244" s="43"/>
      <c r="I244" s="43"/>
      <c r="J244" s="43"/>
      <c r="K244" s="43"/>
      <c r="L244" s="43"/>
      <c r="M244" s="43"/>
      <c r="N244" s="43"/>
    </row>
    <row r="245" spans="1:14" ht="21.75" customHeight="1" x14ac:dyDescent="0.3">
      <c r="A245" s="60" t="s">
        <v>1567</v>
      </c>
      <c r="B245" s="60"/>
      <c r="C245" s="60"/>
      <c r="D245" s="60"/>
      <c r="E245" s="60"/>
      <c r="F245" s="60"/>
      <c r="G245" s="60"/>
      <c r="H245" s="60"/>
      <c r="I245" s="60"/>
      <c r="J245" s="60"/>
      <c r="K245" s="60"/>
      <c r="L245" s="60"/>
      <c r="M245" s="60"/>
      <c r="N245" s="60"/>
    </row>
    <row r="246" spans="1:14" ht="48" customHeight="1" x14ac:dyDescent="0.3">
      <c r="A246" s="43" t="s">
        <v>1568</v>
      </c>
      <c r="B246" s="43" t="s">
        <v>1369</v>
      </c>
      <c r="C246" s="43" t="s">
        <v>765</v>
      </c>
      <c r="D246" s="43" t="s">
        <v>1569</v>
      </c>
      <c r="E246" s="43" t="s">
        <v>765</v>
      </c>
      <c r="F246" s="43" t="s">
        <v>1375</v>
      </c>
      <c r="G246" s="43" t="s">
        <v>1372</v>
      </c>
      <c r="H246" s="43"/>
      <c r="I246" s="43"/>
      <c r="J246" s="43"/>
      <c r="K246" s="43"/>
      <c r="L246" s="43"/>
      <c r="M246" s="43"/>
      <c r="N246" s="43"/>
    </row>
    <row r="247" spans="1:14" ht="48" customHeight="1" x14ac:dyDescent="0.3">
      <c r="A247" s="44" t="s">
        <v>1570</v>
      </c>
      <c r="B247" s="44" t="s">
        <v>1369</v>
      </c>
      <c r="C247" s="44" t="s">
        <v>765</v>
      </c>
      <c r="D247" s="44" t="s">
        <v>1571</v>
      </c>
      <c r="E247" s="44" t="s">
        <v>765</v>
      </c>
      <c r="F247" s="44" t="s">
        <v>1572</v>
      </c>
      <c r="G247" s="44" t="s">
        <v>1372</v>
      </c>
      <c r="H247" s="44"/>
      <c r="I247" s="44"/>
      <c r="J247" s="44"/>
      <c r="K247" s="44"/>
      <c r="L247" s="44"/>
      <c r="M247" s="44"/>
      <c r="N247" s="44"/>
    </row>
    <row r="248" spans="1:14" ht="48" customHeight="1" x14ac:dyDescent="0.3">
      <c r="A248" s="43" t="s">
        <v>1573</v>
      </c>
      <c r="B248" s="43" t="s">
        <v>1369</v>
      </c>
      <c r="C248" s="43" t="s">
        <v>765</v>
      </c>
      <c r="D248" s="43" t="s">
        <v>1574</v>
      </c>
      <c r="E248" s="43" t="s">
        <v>765</v>
      </c>
      <c r="F248" s="43" t="s">
        <v>1575</v>
      </c>
      <c r="G248" s="43" t="s">
        <v>1372</v>
      </c>
      <c r="H248" s="43"/>
      <c r="I248" s="43"/>
      <c r="J248" s="43"/>
      <c r="K248" s="43"/>
      <c r="L248" s="43"/>
      <c r="M248" s="43"/>
      <c r="N248" s="43"/>
    </row>
    <row r="249" spans="1:14" ht="48" customHeight="1" x14ac:dyDescent="0.3">
      <c r="A249" s="44" t="s">
        <v>1576</v>
      </c>
      <c r="B249" s="44" t="s">
        <v>1369</v>
      </c>
      <c r="C249" s="44" t="s">
        <v>765</v>
      </c>
      <c r="D249" s="44" t="s">
        <v>1577</v>
      </c>
      <c r="E249" s="44" t="s">
        <v>765</v>
      </c>
      <c r="F249" s="44" t="s">
        <v>1578</v>
      </c>
      <c r="G249" s="44" t="s">
        <v>1372</v>
      </c>
      <c r="H249" s="44"/>
      <c r="I249" s="44"/>
      <c r="J249" s="44"/>
      <c r="K249" s="44"/>
      <c r="L249" s="44"/>
      <c r="M249" s="44"/>
      <c r="N249" s="44"/>
    </row>
    <row r="250" spans="1:14" ht="48" customHeight="1" x14ac:dyDescent="0.3">
      <c r="A250" s="43" t="s">
        <v>1579</v>
      </c>
      <c r="B250" s="43" t="s">
        <v>1369</v>
      </c>
      <c r="C250" s="43" t="s">
        <v>765</v>
      </c>
      <c r="D250" s="43" t="s">
        <v>1580</v>
      </c>
      <c r="E250" s="43" t="s">
        <v>765</v>
      </c>
      <c r="F250" s="43" t="s">
        <v>1581</v>
      </c>
      <c r="G250" s="43" t="s">
        <v>1372</v>
      </c>
      <c r="H250" s="43"/>
      <c r="I250" s="43"/>
      <c r="J250" s="43"/>
      <c r="K250" s="43"/>
      <c r="L250" s="43"/>
      <c r="M250" s="43"/>
      <c r="N250" s="43"/>
    </row>
    <row r="251" spans="1:14" ht="48" customHeight="1" x14ac:dyDescent="0.3">
      <c r="A251" s="44" t="s">
        <v>1582</v>
      </c>
      <c r="B251" s="44" t="s">
        <v>1369</v>
      </c>
      <c r="C251" s="44" t="s">
        <v>765</v>
      </c>
      <c r="D251" s="44" t="s">
        <v>1583</v>
      </c>
      <c r="E251" s="44" t="s">
        <v>765</v>
      </c>
      <c r="F251" s="44" t="s">
        <v>1584</v>
      </c>
      <c r="G251" s="44" t="s">
        <v>1372</v>
      </c>
      <c r="H251" s="44"/>
      <c r="I251" s="44"/>
      <c r="J251" s="44"/>
      <c r="K251" s="44"/>
      <c r="L251" s="44"/>
      <c r="M251" s="44"/>
      <c r="N251" s="44"/>
    </row>
    <row r="252" spans="1:14" ht="48" customHeight="1" x14ac:dyDescent="0.3">
      <c r="A252" s="43" t="s">
        <v>1585</v>
      </c>
      <c r="B252" s="43" t="s">
        <v>1369</v>
      </c>
      <c r="C252" s="43" t="s">
        <v>765</v>
      </c>
      <c r="D252" s="43" t="s">
        <v>1586</v>
      </c>
      <c r="E252" s="43" t="s">
        <v>765</v>
      </c>
      <c r="F252" s="43" t="s">
        <v>1587</v>
      </c>
      <c r="G252" s="43" t="s">
        <v>1372</v>
      </c>
      <c r="H252" s="43"/>
      <c r="I252" s="43"/>
      <c r="J252" s="43"/>
      <c r="K252" s="43"/>
      <c r="L252" s="43"/>
      <c r="M252" s="43"/>
      <c r="N252" s="43"/>
    </row>
    <row r="253" spans="1:14" ht="21.75" customHeight="1" x14ac:dyDescent="0.3">
      <c r="A253" s="60" t="s">
        <v>1588</v>
      </c>
      <c r="B253" s="60"/>
      <c r="C253" s="60"/>
      <c r="D253" s="60"/>
      <c r="E253" s="60"/>
      <c r="F253" s="60"/>
      <c r="G253" s="60"/>
      <c r="H253" s="60"/>
      <c r="I253" s="60"/>
      <c r="J253" s="60"/>
      <c r="K253" s="60"/>
      <c r="L253" s="60"/>
      <c r="M253" s="60"/>
      <c r="N253" s="60"/>
    </row>
    <row r="254" spans="1:14" ht="48" customHeight="1" x14ac:dyDescent="0.3">
      <c r="A254" s="43" t="s">
        <v>1589</v>
      </c>
      <c r="B254" s="43" t="s">
        <v>1369</v>
      </c>
      <c r="C254" s="43" t="s">
        <v>765</v>
      </c>
      <c r="D254" s="43" t="s">
        <v>1590</v>
      </c>
      <c r="E254" s="43" t="s">
        <v>765</v>
      </c>
      <c r="F254" s="43" t="s">
        <v>1591</v>
      </c>
      <c r="G254" s="43" t="s">
        <v>1372</v>
      </c>
      <c r="H254" s="43"/>
      <c r="I254" s="43"/>
      <c r="J254" s="43"/>
      <c r="K254" s="43"/>
      <c r="L254" s="43"/>
      <c r="M254" s="43"/>
      <c r="N254" s="43"/>
    </row>
    <row r="255" spans="1:14" ht="48" customHeight="1" x14ac:dyDescent="0.3">
      <c r="A255" s="44" t="s">
        <v>1592</v>
      </c>
      <c r="B255" s="44" t="s">
        <v>1369</v>
      </c>
      <c r="C255" s="44" t="s">
        <v>765</v>
      </c>
      <c r="D255" s="44" t="s">
        <v>1593</v>
      </c>
      <c r="E255" s="44" t="s">
        <v>765</v>
      </c>
      <c r="F255" s="44" t="s">
        <v>1594</v>
      </c>
      <c r="G255" s="44" t="s">
        <v>1372</v>
      </c>
      <c r="H255" s="44"/>
      <c r="I255" s="44"/>
      <c r="J255" s="44"/>
      <c r="K255" s="44"/>
      <c r="L255" s="44"/>
      <c r="M255" s="44"/>
      <c r="N255" s="44"/>
    </row>
    <row r="256" spans="1:14" ht="48" customHeight="1" x14ac:dyDescent="0.3">
      <c r="A256" s="43" t="s">
        <v>1595</v>
      </c>
      <c r="B256" s="43" t="s">
        <v>1369</v>
      </c>
      <c r="C256" s="43" t="s">
        <v>765</v>
      </c>
      <c r="D256" s="43" t="s">
        <v>1596</v>
      </c>
      <c r="E256" s="43" t="s">
        <v>765</v>
      </c>
      <c r="F256" s="43" t="s">
        <v>1597</v>
      </c>
      <c r="G256" s="43" t="s">
        <v>1372</v>
      </c>
      <c r="H256" s="43"/>
      <c r="I256" s="43"/>
      <c r="J256" s="43"/>
      <c r="K256" s="43"/>
      <c r="L256" s="43"/>
      <c r="M256" s="43"/>
      <c r="N256" s="43"/>
    </row>
    <row r="257" spans="1:14" ht="48" customHeight="1" x14ac:dyDescent="0.3">
      <c r="A257" s="44" t="s">
        <v>1598</v>
      </c>
      <c r="B257" s="44" t="s">
        <v>1369</v>
      </c>
      <c r="C257" s="44" t="s">
        <v>765</v>
      </c>
      <c r="D257" s="44" t="s">
        <v>1599</v>
      </c>
      <c r="E257" s="44" t="s">
        <v>765</v>
      </c>
      <c r="F257" s="44" t="s">
        <v>1600</v>
      </c>
      <c r="G257" s="44" t="s">
        <v>1372</v>
      </c>
      <c r="H257" s="44"/>
      <c r="I257" s="44"/>
      <c r="J257" s="44"/>
      <c r="K257" s="44"/>
      <c r="L257" s="44"/>
      <c r="M257" s="44"/>
      <c r="N257" s="44"/>
    </row>
    <row r="258" spans="1:14" ht="48" customHeight="1" x14ac:dyDescent="0.3">
      <c r="A258" s="43" t="s">
        <v>1601</v>
      </c>
      <c r="B258" s="43" t="s">
        <v>1369</v>
      </c>
      <c r="C258" s="43" t="s">
        <v>765</v>
      </c>
      <c r="D258" s="43" t="s">
        <v>1602</v>
      </c>
      <c r="E258" s="43" t="s">
        <v>765</v>
      </c>
      <c r="F258" s="43" t="s">
        <v>1603</v>
      </c>
      <c r="G258" s="43" t="s">
        <v>1372</v>
      </c>
      <c r="H258" s="43"/>
      <c r="I258" s="43"/>
      <c r="J258" s="43"/>
      <c r="K258" s="43"/>
      <c r="L258" s="43"/>
      <c r="M258" s="43"/>
      <c r="N258" s="43"/>
    </row>
    <row r="259" spans="1:14" ht="48" customHeight="1" x14ac:dyDescent="0.3">
      <c r="A259" s="44" t="s">
        <v>1604</v>
      </c>
      <c r="B259" s="44" t="s">
        <v>894</v>
      </c>
      <c r="C259" s="44" t="s">
        <v>765</v>
      </c>
      <c r="D259" s="44" t="s">
        <v>1605</v>
      </c>
      <c r="E259" s="44" t="s">
        <v>765</v>
      </c>
      <c r="F259" s="44" t="s">
        <v>1606</v>
      </c>
      <c r="G259" s="44" t="s">
        <v>1372</v>
      </c>
      <c r="H259" s="44"/>
      <c r="I259" s="44"/>
      <c r="J259" s="44"/>
      <c r="K259" s="44"/>
      <c r="L259" s="44"/>
      <c r="M259" s="44"/>
      <c r="N259" s="44"/>
    </row>
    <row r="260" spans="1:14" ht="48" customHeight="1" x14ac:dyDescent="0.3">
      <c r="A260" s="43" t="s">
        <v>1607</v>
      </c>
      <c r="B260" s="43" t="s">
        <v>1369</v>
      </c>
      <c r="C260" s="43" t="s">
        <v>765</v>
      </c>
      <c r="D260" s="43" t="s">
        <v>1608</v>
      </c>
      <c r="E260" s="43" t="s">
        <v>765</v>
      </c>
      <c r="F260" s="43" t="s">
        <v>1609</v>
      </c>
      <c r="G260" s="43" t="s">
        <v>1372</v>
      </c>
      <c r="H260" s="43"/>
      <c r="I260" s="43"/>
      <c r="J260" s="43"/>
      <c r="K260" s="43"/>
      <c r="L260" s="43"/>
      <c r="M260" s="43"/>
      <c r="N260" s="43"/>
    </row>
    <row r="261" spans="1:14" ht="21.75" customHeight="1" x14ac:dyDescent="0.3">
      <c r="A261" s="60" t="s">
        <v>1610</v>
      </c>
      <c r="B261" s="60"/>
      <c r="C261" s="60"/>
      <c r="D261" s="60"/>
      <c r="E261" s="60"/>
      <c r="F261" s="60"/>
      <c r="G261" s="60"/>
      <c r="H261" s="60"/>
      <c r="I261" s="60"/>
      <c r="J261" s="60"/>
      <c r="K261" s="60"/>
      <c r="L261" s="60"/>
      <c r="M261" s="60"/>
      <c r="N261" s="60"/>
    </row>
    <row r="262" spans="1:14" ht="48" customHeight="1" x14ac:dyDescent="0.3">
      <c r="A262" s="43" t="s">
        <v>1611</v>
      </c>
      <c r="B262" s="43" t="s">
        <v>1369</v>
      </c>
      <c r="C262" s="43" t="s">
        <v>765</v>
      </c>
      <c r="D262" s="43" t="s">
        <v>1612</v>
      </c>
      <c r="E262" s="43" t="s">
        <v>765</v>
      </c>
      <c r="F262" s="43" t="s">
        <v>1613</v>
      </c>
      <c r="G262" s="43" t="s">
        <v>1372</v>
      </c>
      <c r="H262" s="43"/>
      <c r="I262" s="43"/>
      <c r="J262" s="43"/>
      <c r="K262" s="43"/>
      <c r="L262" s="43"/>
      <c r="M262" s="43"/>
      <c r="N262" s="43"/>
    </row>
    <row r="263" spans="1:14" ht="48" customHeight="1" x14ac:dyDescent="0.3">
      <c r="A263" s="44" t="s">
        <v>1614</v>
      </c>
      <c r="B263" s="44" t="s">
        <v>1369</v>
      </c>
      <c r="C263" s="44" t="s">
        <v>765</v>
      </c>
      <c r="D263" s="44" t="s">
        <v>1615</v>
      </c>
      <c r="E263" s="44" t="s">
        <v>765</v>
      </c>
      <c r="F263" s="44" t="s">
        <v>1616</v>
      </c>
      <c r="G263" s="44" t="s">
        <v>1372</v>
      </c>
      <c r="H263" s="44"/>
      <c r="I263" s="44"/>
      <c r="J263" s="44"/>
      <c r="K263" s="44"/>
      <c r="L263" s="44"/>
      <c r="M263" s="44"/>
      <c r="N263" s="44"/>
    </row>
    <row r="264" spans="1:14" ht="48" customHeight="1" x14ac:dyDescent="0.3">
      <c r="A264" s="43" t="s">
        <v>1617</v>
      </c>
      <c r="B264" s="43" t="s">
        <v>1369</v>
      </c>
      <c r="C264" s="43" t="s">
        <v>765</v>
      </c>
      <c r="D264" s="43" t="s">
        <v>1618</v>
      </c>
      <c r="E264" s="43" t="s">
        <v>765</v>
      </c>
      <c r="F264" s="43" t="s">
        <v>1619</v>
      </c>
      <c r="G264" s="43" t="s">
        <v>1372</v>
      </c>
      <c r="H264" s="43"/>
      <c r="I264" s="43"/>
      <c r="J264" s="43"/>
      <c r="K264" s="43"/>
      <c r="L264" s="43"/>
      <c r="M264" s="43"/>
      <c r="N264" s="43"/>
    </row>
    <row r="265" spans="1:14" ht="48" customHeight="1" x14ac:dyDescent="0.3">
      <c r="A265" s="44" t="s">
        <v>1620</v>
      </c>
      <c r="B265" s="44" t="s">
        <v>1369</v>
      </c>
      <c r="C265" s="44" t="s">
        <v>765</v>
      </c>
      <c r="D265" s="44" t="s">
        <v>1621</v>
      </c>
      <c r="E265" s="44" t="s">
        <v>765</v>
      </c>
      <c r="F265" s="44" t="s">
        <v>1622</v>
      </c>
      <c r="G265" s="44" t="s">
        <v>1372</v>
      </c>
      <c r="H265" s="44"/>
      <c r="I265" s="44"/>
      <c r="J265" s="44"/>
      <c r="K265" s="44"/>
      <c r="L265" s="44"/>
      <c r="M265" s="44"/>
      <c r="N265" s="44"/>
    </row>
    <row r="266" spans="1:14" ht="48" customHeight="1" x14ac:dyDescent="0.3">
      <c r="A266" s="43" t="s">
        <v>1623</v>
      </c>
      <c r="B266" s="43" t="s">
        <v>1369</v>
      </c>
      <c r="C266" s="43" t="s">
        <v>765</v>
      </c>
      <c r="D266" s="43" t="s">
        <v>1624</v>
      </c>
      <c r="E266" s="43" t="s">
        <v>765</v>
      </c>
      <c r="F266" s="43" t="s">
        <v>1625</v>
      </c>
      <c r="G266" s="43" t="s">
        <v>1372</v>
      </c>
      <c r="H266" s="43"/>
      <c r="I266" s="43"/>
      <c r="J266" s="43"/>
      <c r="K266" s="43"/>
      <c r="L266" s="43"/>
      <c r="M266" s="43"/>
      <c r="N266" s="43"/>
    </row>
    <row r="267" spans="1:14" ht="48" customHeight="1" x14ac:dyDescent="0.3">
      <c r="A267" s="44" t="s">
        <v>1626</v>
      </c>
      <c r="B267" s="44" t="s">
        <v>1369</v>
      </c>
      <c r="C267" s="44" t="s">
        <v>765</v>
      </c>
      <c r="D267" s="44" t="s">
        <v>1627</v>
      </c>
      <c r="E267" s="44" t="s">
        <v>765</v>
      </c>
      <c r="F267" s="44" t="s">
        <v>1628</v>
      </c>
      <c r="G267" s="44" t="s">
        <v>1372</v>
      </c>
      <c r="H267" s="44"/>
      <c r="I267" s="44"/>
      <c r="J267" s="44"/>
      <c r="K267" s="44"/>
      <c r="L267" s="44"/>
      <c r="M267" s="44"/>
      <c r="N267" s="44"/>
    </row>
    <row r="268" spans="1:14" ht="48" customHeight="1" x14ac:dyDescent="0.3">
      <c r="A268" s="43" t="s">
        <v>1629</v>
      </c>
      <c r="B268" s="43" t="s">
        <v>1369</v>
      </c>
      <c r="C268" s="43" t="s">
        <v>765</v>
      </c>
      <c r="D268" s="43" t="s">
        <v>1630</v>
      </c>
      <c r="E268" s="43" t="s">
        <v>765</v>
      </c>
      <c r="F268" s="43" t="s">
        <v>1631</v>
      </c>
      <c r="G268" s="43" t="s">
        <v>1372</v>
      </c>
      <c r="H268" s="43"/>
      <c r="I268" s="43"/>
      <c r="J268" s="43"/>
      <c r="K268" s="43"/>
      <c r="L268" s="43"/>
      <c r="M268" s="43"/>
      <c r="N268" s="43"/>
    </row>
    <row r="269" spans="1:14" ht="21.75" customHeight="1" x14ac:dyDescent="0.3">
      <c r="A269" s="60" t="s">
        <v>1632</v>
      </c>
      <c r="B269" s="60"/>
      <c r="C269" s="60"/>
      <c r="D269" s="60"/>
      <c r="E269" s="60"/>
      <c r="F269" s="60"/>
      <c r="G269" s="60"/>
      <c r="H269" s="60"/>
      <c r="I269" s="60"/>
      <c r="J269" s="60"/>
      <c r="K269" s="60"/>
      <c r="L269" s="60"/>
      <c r="M269" s="60"/>
      <c r="N269" s="60"/>
    </row>
    <row r="270" spans="1:14" ht="48" customHeight="1" x14ac:dyDescent="0.3">
      <c r="A270" s="43" t="s">
        <v>1633</v>
      </c>
      <c r="B270" s="43" t="s">
        <v>1369</v>
      </c>
      <c r="C270" s="43" t="s">
        <v>765</v>
      </c>
      <c r="D270" s="43" t="s">
        <v>1634</v>
      </c>
      <c r="E270" s="43" t="s">
        <v>765</v>
      </c>
      <c r="F270" s="43" t="s">
        <v>1635</v>
      </c>
      <c r="G270" s="43" t="s">
        <v>1372</v>
      </c>
      <c r="H270" s="43"/>
      <c r="I270" s="43"/>
      <c r="J270" s="43"/>
      <c r="K270" s="43"/>
      <c r="L270" s="43"/>
      <c r="M270" s="43"/>
      <c r="N270" s="43"/>
    </row>
    <row r="271" spans="1:14" ht="48" customHeight="1" x14ac:dyDescent="0.3">
      <c r="A271" s="44" t="s">
        <v>1636</v>
      </c>
      <c r="B271" s="44" t="s">
        <v>1369</v>
      </c>
      <c r="C271" s="44" t="s">
        <v>765</v>
      </c>
      <c r="D271" s="44" t="s">
        <v>1637</v>
      </c>
      <c r="E271" s="44" t="s">
        <v>765</v>
      </c>
      <c r="F271" s="44" t="s">
        <v>1638</v>
      </c>
      <c r="G271" s="44" t="s">
        <v>1372</v>
      </c>
      <c r="H271" s="44"/>
      <c r="I271" s="44"/>
      <c r="J271" s="44"/>
      <c r="K271" s="44"/>
      <c r="L271" s="44"/>
      <c r="M271" s="44"/>
      <c r="N271" s="44"/>
    </row>
    <row r="272" spans="1:14" ht="48" customHeight="1" x14ac:dyDescent="0.3">
      <c r="A272" s="43" t="s">
        <v>1639</v>
      </c>
      <c r="B272" s="43" t="s">
        <v>1171</v>
      </c>
      <c r="C272" s="43" t="s">
        <v>765</v>
      </c>
      <c r="D272" s="43" t="s">
        <v>1640</v>
      </c>
      <c r="E272" s="43" t="s">
        <v>765</v>
      </c>
      <c r="F272" s="43" t="s">
        <v>1641</v>
      </c>
      <c r="G272" s="43" t="s">
        <v>1372</v>
      </c>
      <c r="H272" s="43"/>
      <c r="I272" s="43"/>
      <c r="J272" s="43"/>
      <c r="K272" s="43"/>
      <c r="L272" s="43"/>
      <c r="M272" s="43"/>
      <c r="N272" s="43"/>
    </row>
    <row r="273" spans="1:14" ht="48" customHeight="1" x14ac:dyDescent="0.3">
      <c r="A273" s="44" t="s">
        <v>1642</v>
      </c>
      <c r="B273" s="44" t="s">
        <v>1369</v>
      </c>
      <c r="C273" s="44" t="s">
        <v>765</v>
      </c>
      <c r="D273" s="44" t="s">
        <v>1643</v>
      </c>
      <c r="E273" s="44" t="s">
        <v>765</v>
      </c>
      <c r="F273" s="44" t="s">
        <v>1644</v>
      </c>
      <c r="G273" s="44" t="s">
        <v>1372</v>
      </c>
      <c r="H273" s="44"/>
      <c r="I273" s="44"/>
      <c r="J273" s="44"/>
      <c r="K273" s="44"/>
      <c r="L273" s="44"/>
      <c r="M273" s="44"/>
      <c r="N273" s="44"/>
    </row>
    <row r="274" spans="1:14" ht="48" customHeight="1" x14ac:dyDescent="0.3">
      <c r="A274" s="43" t="s">
        <v>1645</v>
      </c>
      <c r="B274" s="43" t="s">
        <v>894</v>
      </c>
      <c r="C274" s="43" t="s">
        <v>765</v>
      </c>
      <c r="D274" s="43" t="s">
        <v>1646</v>
      </c>
      <c r="E274" s="43" t="s">
        <v>765</v>
      </c>
      <c r="F274" s="43" t="s">
        <v>1647</v>
      </c>
      <c r="G274" s="43" t="s">
        <v>1372</v>
      </c>
      <c r="H274" s="43"/>
      <c r="I274" s="43"/>
      <c r="J274" s="43"/>
      <c r="K274" s="43"/>
      <c r="L274" s="43"/>
      <c r="M274" s="43"/>
      <c r="N274" s="43"/>
    </row>
    <row r="275" spans="1:14" ht="48" customHeight="1" x14ac:dyDescent="0.3">
      <c r="A275" s="44" t="s">
        <v>1648</v>
      </c>
      <c r="B275" s="44" t="s">
        <v>1369</v>
      </c>
      <c r="C275" s="44" t="s">
        <v>765</v>
      </c>
      <c r="D275" s="44" t="s">
        <v>1649</v>
      </c>
      <c r="E275" s="44" t="s">
        <v>765</v>
      </c>
      <c r="F275" s="44" t="s">
        <v>1650</v>
      </c>
      <c r="G275" s="44" t="s">
        <v>1372</v>
      </c>
      <c r="H275" s="44"/>
      <c r="I275" s="44"/>
      <c r="J275" s="44"/>
      <c r="K275" s="44"/>
      <c r="L275" s="44"/>
      <c r="M275" s="44"/>
      <c r="N275" s="44"/>
    </row>
    <row r="276" spans="1:14" ht="48" customHeight="1" x14ac:dyDescent="0.3">
      <c r="A276" s="43" t="s">
        <v>1651</v>
      </c>
      <c r="B276" s="43" t="s">
        <v>1369</v>
      </c>
      <c r="C276" s="43" t="s">
        <v>765</v>
      </c>
      <c r="D276" s="43" t="s">
        <v>1652</v>
      </c>
      <c r="E276" s="43" t="s">
        <v>765</v>
      </c>
      <c r="F276" s="43" t="s">
        <v>1653</v>
      </c>
      <c r="G276" s="43" t="s">
        <v>1372</v>
      </c>
      <c r="H276" s="43"/>
      <c r="I276" s="43"/>
      <c r="J276" s="43"/>
      <c r="K276" s="43"/>
      <c r="L276" s="43"/>
      <c r="M276" s="43"/>
      <c r="N276" s="43"/>
    </row>
    <row r="277" spans="1:14" ht="48" customHeight="1" x14ac:dyDescent="0.3">
      <c r="A277" s="44" t="s">
        <v>1654</v>
      </c>
      <c r="B277" s="44" t="s">
        <v>1369</v>
      </c>
      <c r="C277" s="44" t="s">
        <v>765</v>
      </c>
      <c r="D277" s="44" t="s">
        <v>1655</v>
      </c>
      <c r="E277" s="44" t="s">
        <v>765</v>
      </c>
      <c r="F277" s="44" t="s">
        <v>1656</v>
      </c>
      <c r="G277" s="44" t="s">
        <v>1372</v>
      </c>
      <c r="H277" s="44"/>
      <c r="I277" s="44"/>
      <c r="J277" s="44"/>
      <c r="K277" s="44"/>
      <c r="L277" s="44"/>
      <c r="M277" s="44"/>
      <c r="N277" s="44"/>
    </row>
    <row r="278" spans="1:14" ht="48" customHeight="1" x14ac:dyDescent="0.3">
      <c r="A278" s="43" t="s">
        <v>1657</v>
      </c>
      <c r="B278" s="43" t="s">
        <v>1658</v>
      </c>
      <c r="C278" s="43" t="s">
        <v>797</v>
      </c>
      <c r="D278" s="43" t="s">
        <v>1659</v>
      </c>
      <c r="E278" s="43" t="s">
        <v>1660</v>
      </c>
      <c r="F278" s="43" t="s">
        <v>1661</v>
      </c>
      <c r="G278" s="43" t="s">
        <v>1372</v>
      </c>
      <c r="H278" s="43"/>
      <c r="I278" s="43"/>
      <c r="J278" s="43"/>
      <c r="K278" s="43"/>
      <c r="L278" s="43"/>
      <c r="M278" s="43"/>
      <c r="N278" s="43"/>
    </row>
    <row r="279" spans="1:14" ht="48" customHeight="1" x14ac:dyDescent="0.3">
      <c r="A279" s="44" t="s">
        <v>1662</v>
      </c>
      <c r="B279" s="44" t="s">
        <v>1369</v>
      </c>
      <c r="C279" s="44" t="s">
        <v>765</v>
      </c>
      <c r="D279" s="44" t="s">
        <v>1663</v>
      </c>
      <c r="E279" s="44" t="s">
        <v>765</v>
      </c>
      <c r="F279" s="44" t="s">
        <v>1664</v>
      </c>
      <c r="G279" s="44" t="s">
        <v>1372</v>
      </c>
      <c r="H279" s="44"/>
      <c r="I279" s="44"/>
      <c r="J279" s="44"/>
      <c r="K279" s="44"/>
      <c r="L279" s="44"/>
      <c r="M279" s="44"/>
      <c r="N279" s="44"/>
    </row>
    <row r="280" spans="1:14" ht="48" customHeight="1" x14ac:dyDescent="0.3">
      <c r="A280" s="43" t="s">
        <v>1665</v>
      </c>
      <c r="B280" s="43" t="s">
        <v>894</v>
      </c>
      <c r="C280" s="43" t="s">
        <v>797</v>
      </c>
      <c r="D280" s="43" t="s">
        <v>1666</v>
      </c>
      <c r="E280" s="43" t="s">
        <v>1667</v>
      </c>
      <c r="F280" s="43" t="s">
        <v>1668</v>
      </c>
      <c r="G280" s="43" t="s">
        <v>1372</v>
      </c>
      <c r="H280" s="43"/>
      <c r="I280" s="43"/>
      <c r="J280" s="43"/>
      <c r="K280" s="43"/>
      <c r="L280" s="43"/>
      <c r="M280" s="43"/>
      <c r="N280" s="43"/>
    </row>
    <row r="281" spans="1:14" ht="48" customHeight="1" x14ac:dyDescent="0.3">
      <c r="A281" s="44" t="s">
        <v>1669</v>
      </c>
      <c r="B281" s="44" t="s">
        <v>1369</v>
      </c>
      <c r="C281" s="44" t="s">
        <v>765</v>
      </c>
      <c r="D281" s="44" t="s">
        <v>1670</v>
      </c>
      <c r="E281" s="44" t="s">
        <v>765</v>
      </c>
      <c r="F281" s="44" t="s">
        <v>1671</v>
      </c>
      <c r="G281" s="44" t="s">
        <v>1372</v>
      </c>
      <c r="H281" s="44"/>
      <c r="I281" s="44"/>
      <c r="J281" s="44"/>
      <c r="K281" s="44"/>
      <c r="L281" s="44"/>
      <c r="M281" s="44"/>
      <c r="N281" s="44"/>
    </row>
    <row r="282" spans="1:14" ht="48" customHeight="1" x14ac:dyDescent="0.3">
      <c r="A282" s="43" t="s">
        <v>1672</v>
      </c>
      <c r="B282" s="43" t="s">
        <v>1369</v>
      </c>
      <c r="C282" s="43" t="s">
        <v>765</v>
      </c>
      <c r="D282" s="43" t="s">
        <v>1673</v>
      </c>
      <c r="E282" s="43" t="s">
        <v>765</v>
      </c>
      <c r="F282" s="43" t="s">
        <v>1674</v>
      </c>
      <c r="G282" s="43" t="s">
        <v>1372</v>
      </c>
      <c r="H282" s="43"/>
      <c r="I282" s="43"/>
      <c r="J282" s="43"/>
      <c r="K282" s="43"/>
      <c r="L282" s="43"/>
      <c r="M282" s="43"/>
      <c r="N282" s="43"/>
    </row>
    <row r="283" spans="1:14" ht="48" customHeight="1" x14ac:dyDescent="0.3">
      <c r="A283" s="44" t="s">
        <v>1675</v>
      </c>
      <c r="B283" s="44" t="s">
        <v>1369</v>
      </c>
      <c r="C283" s="44" t="s">
        <v>765</v>
      </c>
      <c r="D283" s="44" t="s">
        <v>1676</v>
      </c>
      <c r="E283" s="44" t="s">
        <v>765</v>
      </c>
      <c r="F283" s="44" t="s">
        <v>1677</v>
      </c>
      <c r="G283" s="44" t="s">
        <v>1372</v>
      </c>
      <c r="H283" s="44"/>
      <c r="I283" s="44"/>
      <c r="J283" s="44"/>
      <c r="K283" s="44"/>
      <c r="L283" s="44"/>
      <c r="M283" s="44"/>
      <c r="N283" s="44"/>
    </row>
    <row r="284" spans="1:14" ht="48" customHeight="1" x14ac:dyDescent="0.3">
      <c r="A284" s="43" t="s">
        <v>1678</v>
      </c>
      <c r="B284" s="43" t="s">
        <v>1369</v>
      </c>
      <c r="C284" s="43" t="s">
        <v>765</v>
      </c>
      <c r="D284" s="43" t="s">
        <v>1679</v>
      </c>
      <c r="E284" s="43" t="s">
        <v>765</v>
      </c>
      <c r="F284" s="43" t="s">
        <v>1680</v>
      </c>
      <c r="G284" s="43" t="s">
        <v>1372</v>
      </c>
      <c r="H284" s="43"/>
      <c r="I284" s="43"/>
      <c r="J284" s="43"/>
      <c r="K284" s="43"/>
      <c r="L284" s="43"/>
      <c r="M284" s="43"/>
      <c r="N284" s="43"/>
    </row>
    <row r="285" spans="1:14" ht="48" customHeight="1" x14ac:dyDescent="0.3">
      <c r="A285" s="44" t="s">
        <v>1681</v>
      </c>
      <c r="B285" s="44" t="s">
        <v>1369</v>
      </c>
      <c r="C285" s="44" t="s">
        <v>765</v>
      </c>
      <c r="D285" s="44" t="s">
        <v>1682</v>
      </c>
      <c r="E285" s="44" t="s">
        <v>765</v>
      </c>
      <c r="F285" s="44" t="s">
        <v>1683</v>
      </c>
      <c r="G285" s="44" t="s">
        <v>1372</v>
      </c>
      <c r="H285" s="44"/>
      <c r="I285" s="44"/>
      <c r="J285" s="44"/>
      <c r="K285" s="44"/>
      <c r="L285" s="44"/>
      <c r="M285" s="44"/>
      <c r="N285" s="44"/>
    </row>
    <row r="286" spans="1:14" ht="48" customHeight="1" x14ac:dyDescent="0.3">
      <c r="A286" s="43" t="s">
        <v>1684</v>
      </c>
      <c r="B286" s="43" t="s">
        <v>1369</v>
      </c>
      <c r="C286" s="43" t="s">
        <v>765</v>
      </c>
      <c r="D286" s="43" t="s">
        <v>1685</v>
      </c>
      <c r="E286" s="43" t="s">
        <v>765</v>
      </c>
      <c r="F286" s="43" t="s">
        <v>1686</v>
      </c>
      <c r="G286" s="43" t="s">
        <v>1372</v>
      </c>
      <c r="H286" s="43"/>
      <c r="I286" s="43"/>
      <c r="J286" s="43"/>
      <c r="K286" s="43"/>
      <c r="L286" s="43"/>
      <c r="M286" s="43"/>
      <c r="N286" s="43"/>
    </row>
    <row r="287" spans="1:14" ht="48" customHeight="1" x14ac:dyDescent="0.3">
      <c r="A287" s="44" t="s">
        <v>1687</v>
      </c>
      <c r="B287" s="44" t="s">
        <v>1369</v>
      </c>
      <c r="C287" s="44" t="s">
        <v>765</v>
      </c>
      <c r="D287" s="44" t="s">
        <v>1688</v>
      </c>
      <c r="E287" s="44" t="s">
        <v>765</v>
      </c>
      <c r="F287" s="44" t="s">
        <v>1689</v>
      </c>
      <c r="G287" s="44" t="s">
        <v>1372</v>
      </c>
      <c r="H287" s="44"/>
      <c r="I287" s="44"/>
      <c r="J287" s="44"/>
      <c r="K287" s="44"/>
      <c r="L287" s="44"/>
      <c r="M287" s="44"/>
      <c r="N287" s="44"/>
    </row>
    <row r="288" spans="1:14" ht="48" customHeight="1" x14ac:dyDescent="0.3">
      <c r="A288" s="43" t="s">
        <v>1690</v>
      </c>
      <c r="B288" s="43" t="s">
        <v>1369</v>
      </c>
      <c r="C288" s="43" t="s">
        <v>765</v>
      </c>
      <c r="D288" s="43" t="s">
        <v>1691</v>
      </c>
      <c r="E288" s="43" t="s">
        <v>765</v>
      </c>
      <c r="F288" s="43" t="s">
        <v>1692</v>
      </c>
      <c r="G288" s="43" t="s">
        <v>1372</v>
      </c>
      <c r="H288" s="43"/>
      <c r="I288" s="43"/>
      <c r="J288" s="43"/>
      <c r="K288" s="43"/>
      <c r="L288" s="43"/>
      <c r="M288" s="43"/>
      <c r="N288" s="43"/>
    </row>
    <row r="289" spans="1:14" ht="48" customHeight="1" x14ac:dyDescent="0.3">
      <c r="A289" s="44" t="s">
        <v>1693</v>
      </c>
      <c r="B289" s="44" t="s">
        <v>1369</v>
      </c>
      <c r="C289" s="44" t="s">
        <v>765</v>
      </c>
      <c r="D289" s="44" t="s">
        <v>1694</v>
      </c>
      <c r="E289" s="44" t="s">
        <v>765</v>
      </c>
      <c r="F289" s="44" t="s">
        <v>1695</v>
      </c>
      <c r="G289" s="44" t="s">
        <v>1372</v>
      </c>
      <c r="H289" s="44"/>
      <c r="I289" s="44"/>
      <c r="J289" s="44"/>
      <c r="K289" s="44"/>
      <c r="L289" s="44"/>
      <c r="M289" s="44"/>
      <c r="N289" s="44"/>
    </row>
    <row r="290" spans="1:14" ht="48" customHeight="1" x14ac:dyDescent="0.3">
      <c r="A290" s="43" t="s">
        <v>1696</v>
      </c>
      <c r="B290" s="43" t="s">
        <v>923</v>
      </c>
      <c r="C290" s="43" t="s">
        <v>797</v>
      </c>
      <c r="D290" s="43" t="s">
        <v>1697</v>
      </c>
      <c r="E290" s="43" t="s">
        <v>1698</v>
      </c>
      <c r="F290" s="43" t="s">
        <v>1699</v>
      </c>
      <c r="G290" s="43" t="s">
        <v>1372</v>
      </c>
      <c r="H290" s="43"/>
      <c r="I290" s="43"/>
      <c r="J290" s="43"/>
      <c r="K290" s="43"/>
      <c r="L290" s="43"/>
      <c r="M290" s="43"/>
      <c r="N290" s="43"/>
    </row>
    <row r="291" spans="1:14" ht="48" customHeight="1" x14ac:dyDescent="0.3">
      <c r="A291" s="44" t="s">
        <v>1700</v>
      </c>
      <c r="B291" s="44" t="s">
        <v>1369</v>
      </c>
      <c r="C291" s="44" t="s">
        <v>765</v>
      </c>
      <c r="D291" s="44" t="s">
        <v>1701</v>
      </c>
      <c r="E291" s="44" t="s">
        <v>765</v>
      </c>
      <c r="F291" s="44" t="s">
        <v>1702</v>
      </c>
      <c r="G291" s="44" t="s">
        <v>1372</v>
      </c>
      <c r="H291" s="44"/>
      <c r="I291" s="44"/>
      <c r="J291" s="44"/>
      <c r="K291" s="44"/>
      <c r="L291" s="44"/>
      <c r="M291" s="44"/>
      <c r="N291" s="44"/>
    </row>
    <row r="292" spans="1:14" ht="48" customHeight="1" x14ac:dyDescent="0.3">
      <c r="A292" s="43" t="s">
        <v>1703</v>
      </c>
      <c r="B292" s="43" t="s">
        <v>1369</v>
      </c>
      <c r="C292" s="43" t="s">
        <v>765</v>
      </c>
      <c r="D292" s="43" t="s">
        <v>1704</v>
      </c>
      <c r="E292" s="43" t="s">
        <v>765</v>
      </c>
      <c r="F292" s="43" t="s">
        <v>1705</v>
      </c>
      <c r="G292" s="43" t="s">
        <v>1372</v>
      </c>
      <c r="H292" s="43"/>
      <c r="I292" s="43"/>
      <c r="J292" s="43"/>
      <c r="K292" s="43"/>
      <c r="L292" s="43"/>
      <c r="M292" s="43"/>
      <c r="N292" s="43"/>
    </row>
    <row r="293" spans="1:14" ht="48" customHeight="1" x14ac:dyDescent="0.3">
      <c r="A293" s="44" t="s">
        <v>1706</v>
      </c>
      <c r="B293" s="44" t="s">
        <v>1369</v>
      </c>
      <c r="C293" s="44" t="s">
        <v>765</v>
      </c>
      <c r="D293" s="44" t="s">
        <v>1707</v>
      </c>
      <c r="E293" s="44" t="s">
        <v>765</v>
      </c>
      <c r="F293" s="44" t="s">
        <v>1708</v>
      </c>
      <c r="G293" s="44" t="s">
        <v>1372</v>
      </c>
      <c r="H293" s="44"/>
      <c r="I293" s="44"/>
      <c r="J293" s="44"/>
      <c r="K293" s="44"/>
      <c r="L293" s="44"/>
      <c r="M293" s="44"/>
      <c r="N293" s="44"/>
    </row>
    <row r="294" spans="1:14" ht="48" customHeight="1" x14ac:dyDescent="0.3">
      <c r="A294" s="43" t="s">
        <v>1709</v>
      </c>
      <c r="B294" s="43" t="s">
        <v>1369</v>
      </c>
      <c r="C294" s="43" t="s">
        <v>765</v>
      </c>
      <c r="D294" s="43" t="s">
        <v>1710</v>
      </c>
      <c r="E294" s="43" t="s">
        <v>765</v>
      </c>
      <c r="F294" s="43" t="s">
        <v>1711</v>
      </c>
      <c r="G294" s="43" t="s">
        <v>1372</v>
      </c>
      <c r="H294" s="43"/>
      <c r="I294" s="43"/>
      <c r="J294" s="43"/>
      <c r="K294" s="43"/>
      <c r="L294" s="43"/>
      <c r="M294" s="43"/>
      <c r="N294" s="43"/>
    </row>
    <row r="295" spans="1:14" ht="21.75" customHeight="1" x14ac:dyDescent="0.3">
      <c r="A295" s="60" t="s">
        <v>1712</v>
      </c>
      <c r="B295" s="60"/>
      <c r="C295" s="60"/>
      <c r="D295" s="60"/>
      <c r="E295" s="60"/>
      <c r="F295" s="60"/>
      <c r="G295" s="60"/>
      <c r="H295" s="60"/>
      <c r="I295" s="60"/>
      <c r="J295" s="60"/>
      <c r="K295" s="60"/>
      <c r="L295" s="60"/>
      <c r="M295" s="60"/>
      <c r="N295" s="60"/>
    </row>
    <row r="296" spans="1:14" ht="48" customHeight="1" x14ac:dyDescent="0.3">
      <c r="A296" s="43" t="s">
        <v>1713</v>
      </c>
      <c r="B296" s="43" t="s">
        <v>1307</v>
      </c>
      <c r="C296" s="43" t="s">
        <v>765</v>
      </c>
      <c r="D296" s="43" t="s">
        <v>1714</v>
      </c>
      <c r="E296" s="43" t="s">
        <v>765</v>
      </c>
      <c r="F296" s="43" t="s">
        <v>1715</v>
      </c>
      <c r="G296" s="43" t="s">
        <v>726</v>
      </c>
      <c r="H296" s="43"/>
      <c r="I296" s="43"/>
      <c r="J296" s="43"/>
      <c r="K296" s="43"/>
      <c r="L296" s="43"/>
      <c r="M296" s="43"/>
      <c r="N296" s="43"/>
    </row>
    <row r="297" spans="1:14" ht="48" customHeight="1" x14ac:dyDescent="0.3">
      <c r="A297" s="44" t="s">
        <v>1716</v>
      </c>
      <c r="B297" s="44" t="s">
        <v>1307</v>
      </c>
      <c r="C297" s="44" t="s">
        <v>765</v>
      </c>
      <c r="D297" s="44" t="s">
        <v>1717</v>
      </c>
      <c r="E297" s="44" t="s">
        <v>765</v>
      </c>
      <c r="F297" s="44" t="s">
        <v>1718</v>
      </c>
      <c r="G297" s="44" t="s">
        <v>726</v>
      </c>
      <c r="H297" s="44"/>
      <c r="I297" s="44"/>
      <c r="J297" s="44"/>
      <c r="K297" s="44"/>
      <c r="L297" s="44"/>
      <c r="M297" s="44"/>
      <c r="N297" s="44"/>
    </row>
    <row r="298" spans="1:14" ht="48" customHeight="1" x14ac:dyDescent="0.3">
      <c r="A298" s="43" t="s">
        <v>1719</v>
      </c>
      <c r="B298" s="43" t="s">
        <v>1307</v>
      </c>
      <c r="C298" s="43" t="s">
        <v>765</v>
      </c>
      <c r="D298" s="43" t="s">
        <v>1720</v>
      </c>
      <c r="E298" s="43" t="s">
        <v>765</v>
      </c>
      <c r="F298" s="43" t="s">
        <v>1721</v>
      </c>
      <c r="G298" s="43" t="s">
        <v>726</v>
      </c>
      <c r="H298" s="43"/>
      <c r="I298" s="43"/>
      <c r="J298" s="43"/>
      <c r="K298" s="43"/>
      <c r="L298" s="43"/>
      <c r="M298" s="43"/>
      <c r="N298" s="43"/>
    </row>
    <row r="299" spans="1:14" ht="48" customHeight="1" x14ac:dyDescent="0.3">
      <c r="A299" s="44" t="s">
        <v>1722</v>
      </c>
      <c r="B299" s="44" t="s">
        <v>1307</v>
      </c>
      <c r="C299" s="44" t="s">
        <v>765</v>
      </c>
      <c r="D299" s="44" t="s">
        <v>1723</v>
      </c>
      <c r="E299" s="44" t="s">
        <v>765</v>
      </c>
      <c r="F299" s="44" t="s">
        <v>1724</v>
      </c>
      <c r="G299" s="44" t="s">
        <v>726</v>
      </c>
      <c r="H299" s="44"/>
      <c r="I299" s="44"/>
      <c r="J299" s="44"/>
      <c r="K299" s="44"/>
      <c r="L299" s="44"/>
      <c r="M299" s="44"/>
      <c r="N299" s="44"/>
    </row>
    <row r="300" spans="1:14" ht="48" customHeight="1" x14ac:dyDescent="0.3">
      <c r="A300" s="43" t="s">
        <v>1725</v>
      </c>
      <c r="B300" s="43" t="s">
        <v>1307</v>
      </c>
      <c r="C300" s="43" t="s">
        <v>765</v>
      </c>
      <c r="D300" s="43" t="s">
        <v>1726</v>
      </c>
      <c r="E300" s="43" t="s">
        <v>765</v>
      </c>
      <c r="F300" s="43" t="s">
        <v>1727</v>
      </c>
      <c r="G300" s="43" t="s">
        <v>726</v>
      </c>
      <c r="H300" s="43"/>
      <c r="I300" s="43"/>
      <c r="J300" s="43"/>
      <c r="K300" s="43"/>
      <c r="L300" s="43"/>
      <c r="M300" s="43"/>
      <c r="N300" s="43"/>
    </row>
    <row r="301" spans="1:14" ht="48" customHeight="1" x14ac:dyDescent="0.3">
      <c r="A301" s="44" t="s">
        <v>1728</v>
      </c>
      <c r="B301" s="44" t="s">
        <v>1307</v>
      </c>
      <c r="C301" s="44" t="s">
        <v>765</v>
      </c>
      <c r="D301" s="44" t="s">
        <v>1729</v>
      </c>
      <c r="E301" s="44" t="s">
        <v>765</v>
      </c>
      <c r="F301" s="44" t="s">
        <v>1730</v>
      </c>
      <c r="G301" s="44" t="s">
        <v>726</v>
      </c>
      <c r="H301" s="44"/>
      <c r="I301" s="44"/>
      <c r="J301" s="44"/>
      <c r="K301" s="44"/>
      <c r="L301" s="44"/>
      <c r="M301" s="44"/>
      <c r="N301" s="44"/>
    </row>
    <row r="302" spans="1:14" ht="48" customHeight="1" x14ac:dyDescent="0.3">
      <c r="A302" s="43" t="s">
        <v>1731</v>
      </c>
      <c r="B302" s="43" t="s">
        <v>1307</v>
      </c>
      <c r="C302" s="43" t="s">
        <v>765</v>
      </c>
      <c r="D302" s="43" t="s">
        <v>1732</v>
      </c>
      <c r="E302" s="43" t="s">
        <v>765</v>
      </c>
      <c r="F302" s="43" t="s">
        <v>1733</v>
      </c>
      <c r="G302" s="43" t="s">
        <v>726</v>
      </c>
      <c r="H302" s="43"/>
      <c r="I302" s="43"/>
      <c r="J302" s="43"/>
      <c r="K302" s="43"/>
      <c r="L302" s="43"/>
      <c r="M302" s="43"/>
      <c r="N302" s="43"/>
    </row>
    <row r="303" spans="1:14" ht="48" customHeight="1" x14ac:dyDescent="0.3">
      <c r="A303" s="44" t="s">
        <v>1734</v>
      </c>
      <c r="B303" s="44" t="s">
        <v>1307</v>
      </c>
      <c r="C303" s="44" t="s">
        <v>765</v>
      </c>
      <c r="D303" s="44" t="s">
        <v>1735</v>
      </c>
      <c r="E303" s="44" t="s">
        <v>765</v>
      </c>
      <c r="F303" s="44" t="s">
        <v>1736</v>
      </c>
      <c r="G303" s="44" t="s">
        <v>726</v>
      </c>
      <c r="H303" s="44"/>
      <c r="I303" s="44"/>
      <c r="J303" s="44"/>
      <c r="K303" s="44"/>
      <c r="L303" s="44"/>
      <c r="M303" s="44"/>
      <c r="N303" s="44"/>
    </row>
    <row r="304" spans="1:14" ht="48" customHeight="1" x14ac:dyDescent="0.3">
      <c r="A304" s="43" t="s">
        <v>1737</v>
      </c>
      <c r="B304" s="43" t="s">
        <v>1307</v>
      </c>
      <c r="C304" s="43" t="s">
        <v>765</v>
      </c>
      <c r="D304" s="43" t="s">
        <v>1738</v>
      </c>
      <c r="E304" s="43" t="s">
        <v>765</v>
      </c>
      <c r="F304" s="43" t="s">
        <v>1739</v>
      </c>
      <c r="G304" s="43" t="s">
        <v>726</v>
      </c>
      <c r="H304" s="43"/>
      <c r="I304" s="43"/>
      <c r="J304" s="43"/>
      <c r="K304" s="43"/>
      <c r="L304" s="43"/>
      <c r="M304" s="43"/>
      <c r="N304" s="43"/>
    </row>
    <row r="305" spans="1:14" ht="48" customHeight="1" x14ac:dyDescent="0.3">
      <c r="A305" s="44" t="s">
        <v>1740</v>
      </c>
      <c r="B305" s="44" t="s">
        <v>1307</v>
      </c>
      <c r="C305" s="44" t="s">
        <v>765</v>
      </c>
      <c r="D305" s="44" t="s">
        <v>1741</v>
      </c>
      <c r="E305" s="44" t="s">
        <v>765</v>
      </c>
      <c r="F305" s="44" t="s">
        <v>1742</v>
      </c>
      <c r="G305" s="44" t="s">
        <v>726</v>
      </c>
      <c r="H305" s="44"/>
      <c r="I305" s="44"/>
      <c r="J305" s="44"/>
      <c r="K305" s="44"/>
      <c r="L305" s="44"/>
      <c r="M305" s="44"/>
      <c r="N305" s="44"/>
    </row>
    <row r="306" spans="1:14" ht="48" customHeight="1" x14ac:dyDescent="0.3">
      <c r="A306" s="43" t="s">
        <v>1743</v>
      </c>
      <c r="B306" s="43" t="s">
        <v>1307</v>
      </c>
      <c r="C306" s="43" t="s">
        <v>765</v>
      </c>
      <c r="D306" s="43" t="s">
        <v>1744</v>
      </c>
      <c r="E306" s="43" t="s">
        <v>765</v>
      </c>
      <c r="F306" s="43" t="s">
        <v>1745</v>
      </c>
      <c r="G306" s="43" t="s">
        <v>726</v>
      </c>
      <c r="H306" s="43"/>
      <c r="I306" s="43"/>
      <c r="J306" s="43"/>
      <c r="K306" s="43"/>
      <c r="L306" s="43"/>
      <c r="M306" s="43"/>
      <c r="N306" s="43"/>
    </row>
    <row r="307" spans="1:14" ht="48" customHeight="1" x14ac:dyDescent="0.3">
      <c r="A307" s="44" t="s">
        <v>1746</v>
      </c>
      <c r="B307" s="44" t="s">
        <v>1307</v>
      </c>
      <c r="C307" s="44" t="s">
        <v>765</v>
      </c>
      <c r="D307" s="44" t="s">
        <v>1747</v>
      </c>
      <c r="E307" s="44" t="s">
        <v>765</v>
      </c>
      <c r="F307" s="44" t="s">
        <v>1748</v>
      </c>
      <c r="G307" s="44" t="s">
        <v>726</v>
      </c>
      <c r="H307" s="44"/>
      <c r="I307" s="44"/>
      <c r="J307" s="44"/>
      <c r="K307" s="44"/>
      <c r="L307" s="44"/>
      <c r="M307" s="44"/>
      <c r="N307" s="44"/>
    </row>
    <row r="308" spans="1:14" ht="21.75" customHeight="1" x14ac:dyDescent="0.3">
      <c r="A308" s="60" t="s">
        <v>1749</v>
      </c>
      <c r="B308" s="60"/>
      <c r="C308" s="60"/>
      <c r="D308" s="60"/>
      <c r="E308" s="60"/>
      <c r="F308" s="60"/>
      <c r="G308" s="60"/>
      <c r="H308" s="60"/>
      <c r="I308" s="60"/>
      <c r="J308" s="60"/>
      <c r="K308" s="60"/>
      <c r="L308" s="60"/>
      <c r="M308" s="60"/>
      <c r="N308" s="60"/>
    </row>
    <row r="309" spans="1:14" ht="48" customHeight="1" x14ac:dyDescent="0.3">
      <c r="A309" s="44" t="s">
        <v>1750</v>
      </c>
      <c r="B309" s="44" t="s">
        <v>1307</v>
      </c>
      <c r="C309" s="44" t="s">
        <v>765</v>
      </c>
      <c r="D309" s="44" t="s">
        <v>1751</v>
      </c>
      <c r="E309" s="44" t="s">
        <v>765</v>
      </c>
      <c r="F309" s="44" t="s">
        <v>1752</v>
      </c>
      <c r="G309" s="44" t="s">
        <v>726</v>
      </c>
      <c r="H309" s="44"/>
      <c r="I309" s="44"/>
      <c r="J309" s="44"/>
      <c r="K309" s="44"/>
      <c r="L309" s="44"/>
      <c r="M309" s="44"/>
      <c r="N309" s="44"/>
    </row>
    <row r="310" spans="1:14" ht="48" customHeight="1" x14ac:dyDescent="0.3">
      <c r="A310" s="43" t="s">
        <v>1753</v>
      </c>
      <c r="B310" s="43" t="s">
        <v>1307</v>
      </c>
      <c r="C310" s="43" t="s">
        <v>765</v>
      </c>
      <c r="D310" s="43" t="s">
        <v>1754</v>
      </c>
      <c r="E310" s="43" t="s">
        <v>765</v>
      </c>
      <c r="F310" s="43" t="s">
        <v>1755</v>
      </c>
      <c r="G310" s="43" t="s">
        <v>726</v>
      </c>
      <c r="H310" s="43"/>
      <c r="I310" s="43"/>
      <c r="J310" s="43"/>
      <c r="K310" s="43"/>
      <c r="L310" s="43"/>
      <c r="M310" s="43"/>
      <c r="N310" s="43"/>
    </row>
    <row r="311" spans="1:14" ht="48" customHeight="1" x14ac:dyDescent="0.3">
      <c r="A311" s="44" t="s">
        <v>1756</v>
      </c>
      <c r="B311" s="44" t="s">
        <v>1307</v>
      </c>
      <c r="C311" s="44" t="s">
        <v>765</v>
      </c>
      <c r="D311" s="44" t="s">
        <v>1757</v>
      </c>
      <c r="E311" s="44" t="s">
        <v>765</v>
      </c>
      <c r="F311" s="44" t="s">
        <v>1758</v>
      </c>
      <c r="G311" s="44" t="s">
        <v>726</v>
      </c>
      <c r="H311" s="44"/>
      <c r="I311" s="44"/>
      <c r="J311" s="44"/>
      <c r="K311" s="44"/>
      <c r="L311" s="44"/>
      <c r="M311" s="44"/>
      <c r="N311" s="44"/>
    </row>
    <row r="312" spans="1:14" ht="48" customHeight="1" x14ac:dyDescent="0.3">
      <c r="A312" s="43" t="s">
        <v>1759</v>
      </c>
      <c r="B312" s="43" t="s">
        <v>1307</v>
      </c>
      <c r="C312" s="43" t="s">
        <v>765</v>
      </c>
      <c r="D312" s="43" t="s">
        <v>1760</v>
      </c>
      <c r="E312" s="43" t="s">
        <v>765</v>
      </c>
      <c r="F312" s="43" t="s">
        <v>1761</v>
      </c>
      <c r="G312" s="43" t="s">
        <v>726</v>
      </c>
      <c r="H312" s="43"/>
      <c r="I312" s="43"/>
      <c r="J312" s="43"/>
      <c r="K312" s="43"/>
      <c r="L312" s="43"/>
      <c r="M312" s="43"/>
      <c r="N312" s="43"/>
    </row>
    <row r="313" spans="1:14" ht="48" customHeight="1" x14ac:dyDescent="0.3">
      <c r="A313" s="44" t="s">
        <v>1762</v>
      </c>
      <c r="B313" s="44" t="s">
        <v>1307</v>
      </c>
      <c r="C313" s="44" t="s">
        <v>765</v>
      </c>
      <c r="D313" s="44" t="s">
        <v>1763</v>
      </c>
      <c r="E313" s="44" t="s">
        <v>765</v>
      </c>
      <c r="F313" s="44" t="s">
        <v>1764</v>
      </c>
      <c r="G313" s="44" t="s">
        <v>726</v>
      </c>
      <c r="H313" s="44"/>
      <c r="I313" s="44"/>
      <c r="J313" s="44"/>
      <c r="K313" s="44"/>
      <c r="L313" s="44"/>
      <c r="M313" s="44"/>
      <c r="N313" s="44"/>
    </row>
    <row r="314" spans="1:14" ht="48" customHeight="1" x14ac:dyDescent="0.3">
      <c r="A314" s="43" t="s">
        <v>1765</v>
      </c>
      <c r="B314" s="43" t="s">
        <v>1307</v>
      </c>
      <c r="C314" s="43" t="s">
        <v>765</v>
      </c>
      <c r="D314" s="43" t="s">
        <v>1766</v>
      </c>
      <c r="E314" s="43" t="s">
        <v>765</v>
      </c>
      <c r="F314" s="43" t="s">
        <v>1767</v>
      </c>
      <c r="G314" s="43" t="s">
        <v>726</v>
      </c>
      <c r="H314" s="43"/>
      <c r="I314" s="43"/>
      <c r="J314" s="43"/>
      <c r="K314" s="43"/>
      <c r="L314" s="43"/>
      <c r="M314" s="43"/>
      <c r="N314" s="43"/>
    </row>
    <row r="315" spans="1:14" ht="48" customHeight="1" x14ac:dyDescent="0.3">
      <c r="A315" s="44" t="s">
        <v>1768</v>
      </c>
      <c r="B315" s="44" t="s">
        <v>1307</v>
      </c>
      <c r="C315" s="44" t="s">
        <v>765</v>
      </c>
      <c r="D315" s="44" t="s">
        <v>1769</v>
      </c>
      <c r="E315" s="44" t="s">
        <v>765</v>
      </c>
      <c r="F315" s="44" t="s">
        <v>1770</v>
      </c>
      <c r="G315" s="44" t="s">
        <v>726</v>
      </c>
      <c r="H315" s="44"/>
      <c r="I315" s="44"/>
      <c r="J315" s="44"/>
      <c r="K315" s="44"/>
      <c r="L315" s="44"/>
      <c r="M315" s="44"/>
      <c r="N315" s="44"/>
    </row>
    <row r="316" spans="1:14" ht="48" customHeight="1" x14ac:dyDescent="0.3">
      <c r="A316" s="43" t="s">
        <v>1771</v>
      </c>
      <c r="B316" s="43" t="s">
        <v>1307</v>
      </c>
      <c r="C316" s="43" t="s">
        <v>765</v>
      </c>
      <c r="D316" s="43" t="s">
        <v>1772</v>
      </c>
      <c r="E316" s="43" t="s">
        <v>765</v>
      </c>
      <c r="F316" s="43" t="s">
        <v>1773</v>
      </c>
      <c r="G316" s="43" t="s">
        <v>726</v>
      </c>
      <c r="H316" s="43"/>
      <c r="I316" s="43"/>
      <c r="J316" s="43"/>
      <c r="K316" s="43"/>
      <c r="L316" s="43"/>
      <c r="M316" s="43"/>
      <c r="N316" s="43"/>
    </row>
    <row r="317" spans="1:14" ht="48" customHeight="1" x14ac:dyDescent="0.3">
      <c r="A317" s="44" t="s">
        <v>1774</v>
      </c>
      <c r="B317" s="44" t="s">
        <v>1307</v>
      </c>
      <c r="C317" s="44" t="s">
        <v>765</v>
      </c>
      <c r="D317" s="44" t="s">
        <v>1775</v>
      </c>
      <c r="E317" s="44" t="s">
        <v>765</v>
      </c>
      <c r="F317" s="44" t="s">
        <v>1776</v>
      </c>
      <c r="G317" s="44" t="s">
        <v>726</v>
      </c>
      <c r="H317" s="44"/>
      <c r="I317" s="44"/>
      <c r="J317" s="44"/>
      <c r="K317" s="44"/>
      <c r="L317" s="44"/>
      <c r="M317" s="44"/>
      <c r="N317" s="44"/>
    </row>
    <row r="318" spans="1:14" ht="48" customHeight="1" x14ac:dyDescent="0.3">
      <c r="A318" s="43" t="s">
        <v>1777</v>
      </c>
      <c r="B318" s="43" t="s">
        <v>1307</v>
      </c>
      <c r="C318" s="43" t="s">
        <v>765</v>
      </c>
      <c r="D318" s="43" t="s">
        <v>1778</v>
      </c>
      <c r="E318" s="43" t="s">
        <v>765</v>
      </c>
      <c r="F318" s="43" t="s">
        <v>1779</v>
      </c>
      <c r="G318" s="43" t="s">
        <v>726</v>
      </c>
      <c r="H318" s="43"/>
      <c r="I318" s="43"/>
      <c r="J318" s="43"/>
      <c r="K318" s="43"/>
      <c r="L318" s="43"/>
      <c r="M318" s="43"/>
      <c r="N318" s="43"/>
    </row>
    <row r="319" spans="1:14" ht="48" customHeight="1" x14ac:dyDescent="0.3">
      <c r="A319" s="44" t="s">
        <v>1780</v>
      </c>
      <c r="B319" s="44" t="s">
        <v>1307</v>
      </c>
      <c r="C319" s="44" t="s">
        <v>765</v>
      </c>
      <c r="D319" s="44" t="s">
        <v>1781</v>
      </c>
      <c r="E319" s="44" t="s">
        <v>765</v>
      </c>
      <c r="F319" s="44" t="s">
        <v>1584</v>
      </c>
      <c r="G319" s="44" t="s">
        <v>726</v>
      </c>
      <c r="H319" s="44"/>
      <c r="I319" s="44"/>
      <c r="J319" s="44"/>
      <c r="K319" s="44"/>
      <c r="L319" s="44"/>
      <c r="M319" s="44"/>
      <c r="N319" s="44"/>
    </row>
    <row r="320" spans="1:14" ht="48" customHeight="1" x14ac:dyDescent="0.3">
      <c r="A320" s="43" t="s">
        <v>1782</v>
      </c>
      <c r="B320" s="43" t="s">
        <v>1307</v>
      </c>
      <c r="C320" s="43" t="s">
        <v>765</v>
      </c>
      <c r="D320" s="43" t="s">
        <v>1783</v>
      </c>
      <c r="E320" s="43" t="s">
        <v>765</v>
      </c>
      <c r="F320" s="43" t="s">
        <v>1784</v>
      </c>
      <c r="G320" s="43" t="s">
        <v>726</v>
      </c>
      <c r="H320" s="43"/>
      <c r="I320" s="43"/>
      <c r="J320" s="43"/>
      <c r="K320" s="43"/>
      <c r="L320" s="43"/>
      <c r="M320" s="43"/>
      <c r="N320" s="43"/>
    </row>
    <row r="321" spans="1:14" ht="21.75" customHeight="1" x14ac:dyDescent="0.3">
      <c r="A321" s="60" t="s">
        <v>1785</v>
      </c>
      <c r="B321" s="60"/>
      <c r="C321" s="60"/>
      <c r="D321" s="60"/>
      <c r="E321" s="60"/>
      <c r="F321" s="60"/>
      <c r="G321" s="60"/>
      <c r="H321" s="60"/>
      <c r="I321" s="60"/>
      <c r="J321" s="60"/>
      <c r="K321" s="60"/>
      <c r="L321" s="60"/>
      <c r="M321" s="60"/>
      <c r="N321" s="60"/>
    </row>
    <row r="322" spans="1:14" ht="48" customHeight="1" x14ac:dyDescent="0.3">
      <c r="A322" s="43" t="s">
        <v>1786</v>
      </c>
      <c r="B322" s="43" t="s">
        <v>1307</v>
      </c>
      <c r="C322" s="43" t="s">
        <v>765</v>
      </c>
      <c r="D322" s="43" t="s">
        <v>1787</v>
      </c>
      <c r="E322" s="43" t="s">
        <v>765</v>
      </c>
      <c r="F322" s="43" t="s">
        <v>1788</v>
      </c>
      <c r="G322" s="43" t="s">
        <v>726</v>
      </c>
      <c r="H322" s="43"/>
      <c r="I322" s="43"/>
      <c r="J322" s="43"/>
      <c r="K322" s="43"/>
      <c r="L322" s="43"/>
      <c r="M322" s="43"/>
      <c r="N322" s="43"/>
    </row>
    <row r="323" spans="1:14" ht="48" customHeight="1" x14ac:dyDescent="0.3">
      <c r="A323" s="44" t="s">
        <v>1789</v>
      </c>
      <c r="B323" s="44" t="s">
        <v>1307</v>
      </c>
      <c r="C323" s="44" t="s">
        <v>765</v>
      </c>
      <c r="D323" s="44" t="s">
        <v>1790</v>
      </c>
      <c r="E323" s="44" t="s">
        <v>765</v>
      </c>
      <c r="F323" s="44" t="s">
        <v>1791</v>
      </c>
      <c r="G323" s="44" t="s">
        <v>726</v>
      </c>
      <c r="H323" s="44"/>
      <c r="I323" s="44"/>
      <c r="J323" s="44"/>
      <c r="K323" s="44"/>
      <c r="L323" s="44"/>
      <c r="M323" s="44"/>
      <c r="N323" s="44"/>
    </row>
    <row r="324" spans="1:14" ht="48" customHeight="1" x14ac:dyDescent="0.3">
      <c r="A324" s="43" t="s">
        <v>1792</v>
      </c>
      <c r="B324" s="43" t="s">
        <v>1307</v>
      </c>
      <c r="C324" s="43" t="s">
        <v>765</v>
      </c>
      <c r="D324" s="43" t="s">
        <v>1793</v>
      </c>
      <c r="E324" s="43" t="s">
        <v>765</v>
      </c>
      <c r="F324" s="43" t="s">
        <v>1794</v>
      </c>
      <c r="G324" s="43" t="s">
        <v>726</v>
      </c>
      <c r="H324" s="43"/>
      <c r="I324" s="43"/>
      <c r="J324" s="43"/>
      <c r="K324" s="43"/>
      <c r="L324" s="43"/>
      <c r="M324" s="43"/>
      <c r="N324" s="43"/>
    </row>
    <row r="325" spans="1:14" ht="48" customHeight="1" x14ac:dyDescent="0.3">
      <c r="A325" s="44" t="s">
        <v>1795</v>
      </c>
      <c r="B325" s="44" t="s">
        <v>1307</v>
      </c>
      <c r="C325" s="44" t="s">
        <v>765</v>
      </c>
      <c r="D325" s="44" t="s">
        <v>1796</v>
      </c>
      <c r="E325" s="44" t="s">
        <v>765</v>
      </c>
      <c r="F325" s="44" t="s">
        <v>1797</v>
      </c>
      <c r="G325" s="44" t="s">
        <v>726</v>
      </c>
      <c r="H325" s="44"/>
      <c r="I325" s="44"/>
      <c r="J325" s="44"/>
      <c r="K325" s="44"/>
      <c r="L325" s="44"/>
      <c r="M325" s="44"/>
      <c r="N325" s="44"/>
    </row>
    <row r="326" spans="1:14" ht="48" customHeight="1" x14ac:dyDescent="0.3">
      <c r="A326" s="43" t="s">
        <v>1798</v>
      </c>
      <c r="B326" s="43" t="s">
        <v>1307</v>
      </c>
      <c r="C326" s="43" t="s">
        <v>765</v>
      </c>
      <c r="D326" s="43" t="s">
        <v>1799</v>
      </c>
      <c r="E326" s="43" t="s">
        <v>765</v>
      </c>
      <c r="F326" s="43" t="s">
        <v>1800</v>
      </c>
      <c r="G326" s="43" t="s">
        <v>726</v>
      </c>
      <c r="H326" s="43"/>
      <c r="I326" s="43"/>
      <c r="J326" s="43"/>
      <c r="K326" s="43"/>
      <c r="L326" s="43"/>
      <c r="M326" s="43"/>
      <c r="N326" s="43"/>
    </row>
    <row r="327" spans="1:14" ht="48" customHeight="1" x14ac:dyDescent="0.3">
      <c r="A327" s="44" t="s">
        <v>1801</v>
      </c>
      <c r="B327" s="44" t="s">
        <v>1307</v>
      </c>
      <c r="C327" s="44" t="s">
        <v>765</v>
      </c>
      <c r="D327" s="44" t="s">
        <v>1802</v>
      </c>
      <c r="E327" s="44" t="s">
        <v>765</v>
      </c>
      <c r="F327" s="44" t="s">
        <v>1803</v>
      </c>
      <c r="G327" s="44" t="s">
        <v>726</v>
      </c>
      <c r="H327" s="44"/>
      <c r="I327" s="44"/>
      <c r="J327" s="44"/>
      <c r="K327" s="44"/>
      <c r="L327" s="44"/>
      <c r="M327" s="44"/>
      <c r="N327" s="44"/>
    </row>
    <row r="328" spans="1:14" ht="48" customHeight="1" x14ac:dyDescent="0.3">
      <c r="A328" s="43" t="s">
        <v>1804</v>
      </c>
      <c r="B328" s="43" t="s">
        <v>1307</v>
      </c>
      <c r="C328" s="43" t="s">
        <v>765</v>
      </c>
      <c r="D328" s="43" t="s">
        <v>1805</v>
      </c>
      <c r="E328" s="43" t="s">
        <v>765</v>
      </c>
      <c r="F328" s="43" t="s">
        <v>1806</v>
      </c>
      <c r="G328" s="43" t="s">
        <v>726</v>
      </c>
      <c r="H328" s="43"/>
      <c r="I328" s="43"/>
      <c r="J328" s="43"/>
      <c r="K328" s="43"/>
      <c r="L328" s="43"/>
      <c r="M328" s="43"/>
      <c r="N328" s="43"/>
    </row>
    <row r="329" spans="1:14" ht="48" customHeight="1" x14ac:dyDescent="0.3">
      <c r="A329" s="44" t="s">
        <v>1807</v>
      </c>
      <c r="B329" s="44" t="s">
        <v>1307</v>
      </c>
      <c r="C329" s="44" t="s">
        <v>765</v>
      </c>
      <c r="D329" s="44" t="s">
        <v>1808</v>
      </c>
      <c r="E329" s="44" t="s">
        <v>765</v>
      </c>
      <c r="F329" s="44" t="s">
        <v>1809</v>
      </c>
      <c r="G329" s="44" t="s">
        <v>726</v>
      </c>
      <c r="H329" s="44"/>
      <c r="I329" s="44"/>
      <c r="J329" s="44"/>
      <c r="K329" s="44"/>
      <c r="L329" s="44"/>
      <c r="M329" s="44"/>
      <c r="N329" s="44"/>
    </row>
    <row r="330" spans="1:14" ht="48" customHeight="1" x14ac:dyDescent="0.3">
      <c r="A330" s="43" t="s">
        <v>1810</v>
      </c>
      <c r="B330" s="43" t="s">
        <v>1307</v>
      </c>
      <c r="C330" s="43" t="s">
        <v>765</v>
      </c>
      <c r="D330" s="43" t="s">
        <v>1811</v>
      </c>
      <c r="E330" s="43" t="s">
        <v>765</v>
      </c>
      <c r="F330" s="43" t="s">
        <v>1812</v>
      </c>
      <c r="G330" s="43" t="s">
        <v>726</v>
      </c>
      <c r="H330" s="43"/>
      <c r="I330" s="43"/>
      <c r="J330" s="43"/>
      <c r="K330" s="43"/>
      <c r="L330" s="43"/>
      <c r="M330" s="43"/>
      <c r="N330" s="43"/>
    </row>
    <row r="331" spans="1:14" ht="48" customHeight="1" x14ac:dyDescent="0.3">
      <c r="A331" s="44" t="s">
        <v>1813</v>
      </c>
      <c r="B331" s="44" t="s">
        <v>1307</v>
      </c>
      <c r="C331" s="44" t="s">
        <v>765</v>
      </c>
      <c r="D331" s="44" t="s">
        <v>1814</v>
      </c>
      <c r="E331" s="44" t="s">
        <v>765</v>
      </c>
      <c r="F331" s="44" t="s">
        <v>1815</v>
      </c>
      <c r="G331" s="44" t="s">
        <v>726</v>
      </c>
      <c r="H331" s="44"/>
      <c r="I331" s="44"/>
      <c r="J331" s="44"/>
      <c r="K331" s="44"/>
      <c r="L331" s="44"/>
      <c r="M331" s="44"/>
      <c r="N331" s="44"/>
    </row>
    <row r="332" spans="1:14" ht="21.75" customHeight="1" x14ac:dyDescent="0.3">
      <c r="A332" s="60" t="s">
        <v>1816</v>
      </c>
      <c r="B332" s="60"/>
      <c r="C332" s="60"/>
      <c r="D332" s="60"/>
      <c r="E332" s="60"/>
      <c r="F332" s="60"/>
      <c r="G332" s="60"/>
      <c r="H332" s="60"/>
      <c r="I332" s="60"/>
      <c r="J332" s="60"/>
      <c r="K332" s="60"/>
      <c r="L332" s="60"/>
      <c r="M332" s="60"/>
      <c r="N332" s="60"/>
    </row>
    <row r="333" spans="1:14" ht="48" customHeight="1" x14ac:dyDescent="0.3">
      <c r="A333" s="44" t="s">
        <v>1817</v>
      </c>
      <c r="B333" s="44" t="s">
        <v>1818</v>
      </c>
      <c r="C333" s="44" t="s">
        <v>1819</v>
      </c>
      <c r="D333" s="44" t="s">
        <v>1820</v>
      </c>
      <c r="E333" s="44" t="s">
        <v>1821</v>
      </c>
      <c r="F333" s="44" t="s">
        <v>1822</v>
      </c>
      <c r="G333" s="44" t="s">
        <v>726</v>
      </c>
      <c r="H333" s="44"/>
      <c r="I333" s="44"/>
      <c r="J333" s="44"/>
      <c r="K333" s="44"/>
      <c r="L333" s="44"/>
      <c r="M333" s="44"/>
      <c r="N333" s="44"/>
    </row>
    <row r="334" spans="1:14" ht="48" customHeight="1" x14ac:dyDescent="0.3">
      <c r="A334" s="43" t="s">
        <v>1823</v>
      </c>
      <c r="B334" s="43" t="s">
        <v>1818</v>
      </c>
      <c r="C334" s="43" t="s">
        <v>1824</v>
      </c>
      <c r="D334" s="43" t="s">
        <v>1825</v>
      </c>
      <c r="E334" s="43" t="s">
        <v>1826</v>
      </c>
      <c r="F334" s="43" t="s">
        <v>1827</v>
      </c>
      <c r="G334" s="43" t="s">
        <v>726</v>
      </c>
      <c r="H334" s="43"/>
      <c r="I334" s="43"/>
      <c r="J334" s="43"/>
      <c r="K334" s="43"/>
      <c r="L334" s="43"/>
      <c r="M334" s="43"/>
      <c r="N334" s="43"/>
    </row>
    <row r="335" spans="1:14" ht="48" customHeight="1" x14ac:dyDescent="0.3">
      <c r="A335" s="44" t="s">
        <v>1828</v>
      </c>
      <c r="B335" s="44" t="s">
        <v>1818</v>
      </c>
      <c r="C335" s="44" t="s">
        <v>1829</v>
      </c>
      <c r="D335" s="44" t="s">
        <v>1830</v>
      </c>
      <c r="E335" s="44" t="s">
        <v>1831</v>
      </c>
      <c r="F335" s="44" t="s">
        <v>1832</v>
      </c>
      <c r="G335" s="44" t="s">
        <v>726</v>
      </c>
      <c r="H335" s="44"/>
      <c r="I335" s="44"/>
      <c r="J335" s="44"/>
      <c r="K335" s="44"/>
      <c r="L335" s="44"/>
      <c r="M335" s="44"/>
      <c r="N335" s="44"/>
    </row>
    <row r="336" spans="1:14" ht="48" customHeight="1" x14ac:dyDescent="0.3">
      <c r="A336" s="43" t="s">
        <v>1833</v>
      </c>
      <c r="B336" s="43" t="s">
        <v>1818</v>
      </c>
      <c r="C336" s="43" t="s">
        <v>1834</v>
      </c>
      <c r="D336" s="43" t="s">
        <v>1835</v>
      </c>
      <c r="E336" s="43" t="s">
        <v>1836</v>
      </c>
      <c r="F336" s="43" t="s">
        <v>1837</v>
      </c>
      <c r="G336" s="43" t="s">
        <v>726</v>
      </c>
      <c r="H336" s="43"/>
      <c r="I336" s="43"/>
      <c r="J336" s="43"/>
      <c r="K336" s="43"/>
      <c r="L336" s="43"/>
      <c r="M336" s="43"/>
      <c r="N336" s="43"/>
    </row>
    <row r="337" spans="1:14" ht="48" customHeight="1" x14ac:dyDescent="0.3">
      <c r="A337" s="44" t="s">
        <v>1838</v>
      </c>
      <c r="B337" s="44" t="s">
        <v>1818</v>
      </c>
      <c r="C337" s="44" t="s">
        <v>1839</v>
      </c>
      <c r="D337" s="44" t="s">
        <v>1840</v>
      </c>
      <c r="E337" s="44" t="s">
        <v>1841</v>
      </c>
      <c r="F337" s="44" t="s">
        <v>1842</v>
      </c>
      <c r="G337" s="44" t="s">
        <v>726</v>
      </c>
      <c r="H337" s="44"/>
      <c r="I337" s="44"/>
      <c r="J337" s="44"/>
      <c r="K337" s="44"/>
      <c r="L337" s="44"/>
      <c r="M337" s="44"/>
      <c r="N337" s="44"/>
    </row>
    <row r="338" spans="1:14" ht="48" customHeight="1" x14ac:dyDescent="0.3">
      <c r="A338" s="43" t="s">
        <v>1843</v>
      </c>
      <c r="B338" s="43" t="s">
        <v>1818</v>
      </c>
      <c r="C338" s="43" t="s">
        <v>1844</v>
      </c>
      <c r="D338" s="43" t="s">
        <v>1845</v>
      </c>
      <c r="E338" s="43" t="s">
        <v>1846</v>
      </c>
      <c r="F338" s="43" t="s">
        <v>1847</v>
      </c>
      <c r="G338" s="43" t="s">
        <v>726</v>
      </c>
      <c r="H338" s="43"/>
      <c r="I338" s="43"/>
      <c r="J338" s="43"/>
      <c r="K338" s="43"/>
      <c r="L338" s="43"/>
      <c r="M338" s="43"/>
      <c r="N338" s="43"/>
    </row>
    <row r="339" spans="1:14" ht="48" customHeight="1" x14ac:dyDescent="0.3">
      <c r="A339" s="44" t="s">
        <v>1848</v>
      </c>
      <c r="B339" s="44" t="s">
        <v>1818</v>
      </c>
      <c r="C339" s="44" t="s">
        <v>1849</v>
      </c>
      <c r="D339" s="44" t="s">
        <v>1850</v>
      </c>
      <c r="E339" s="44" t="s">
        <v>1851</v>
      </c>
      <c r="F339" s="44" t="s">
        <v>1852</v>
      </c>
      <c r="G339" s="44" t="s">
        <v>726</v>
      </c>
      <c r="H339" s="44"/>
      <c r="I339" s="44"/>
      <c r="J339" s="44"/>
      <c r="K339" s="44"/>
      <c r="L339" s="44"/>
      <c r="M339" s="44"/>
      <c r="N339" s="44"/>
    </row>
    <row r="340" spans="1:14" ht="48" customHeight="1" x14ac:dyDescent="0.3">
      <c r="A340" s="43" t="s">
        <v>1853</v>
      </c>
      <c r="B340" s="43" t="s">
        <v>1818</v>
      </c>
      <c r="C340" s="43" t="s">
        <v>1854</v>
      </c>
      <c r="D340" s="43" t="s">
        <v>1855</v>
      </c>
      <c r="E340" s="43" t="s">
        <v>1856</v>
      </c>
      <c r="F340" s="43" t="s">
        <v>1857</v>
      </c>
      <c r="G340" s="43" t="s">
        <v>726</v>
      </c>
      <c r="H340" s="43"/>
      <c r="I340" s="43"/>
      <c r="J340" s="43"/>
      <c r="K340" s="43"/>
      <c r="L340" s="43"/>
      <c r="M340" s="43"/>
      <c r="N340" s="43"/>
    </row>
    <row r="341" spans="1:14" ht="48" customHeight="1" x14ac:dyDescent="0.3">
      <c r="A341" s="44" t="s">
        <v>1858</v>
      </c>
      <c r="B341" s="44" t="s">
        <v>1818</v>
      </c>
      <c r="C341" s="44" t="s">
        <v>1854</v>
      </c>
      <c r="D341" s="44" t="s">
        <v>1859</v>
      </c>
      <c r="E341" s="44" t="s">
        <v>1860</v>
      </c>
      <c r="F341" s="44" t="s">
        <v>1861</v>
      </c>
      <c r="G341" s="44" t="s">
        <v>726</v>
      </c>
      <c r="H341" s="44"/>
      <c r="I341" s="44"/>
      <c r="J341" s="44"/>
      <c r="K341" s="44"/>
      <c r="L341" s="44"/>
      <c r="M341" s="44"/>
      <c r="N341" s="44"/>
    </row>
    <row r="342" spans="1:14" ht="48" customHeight="1" x14ac:dyDescent="0.3">
      <c r="A342" s="43" t="s">
        <v>1862</v>
      </c>
      <c r="B342" s="43" t="s">
        <v>1818</v>
      </c>
      <c r="C342" s="43" t="s">
        <v>1854</v>
      </c>
      <c r="D342" s="43" t="s">
        <v>1863</v>
      </c>
      <c r="E342" s="43" t="s">
        <v>1864</v>
      </c>
      <c r="F342" s="43" t="s">
        <v>1865</v>
      </c>
      <c r="G342" s="43" t="s">
        <v>726</v>
      </c>
      <c r="H342" s="43"/>
      <c r="I342" s="43"/>
      <c r="J342" s="43"/>
      <c r="K342" s="43"/>
      <c r="L342" s="43"/>
      <c r="M342" s="43"/>
      <c r="N342" s="43"/>
    </row>
    <row r="343" spans="1:14" ht="48" customHeight="1" x14ac:dyDescent="0.3">
      <c r="A343" s="44" t="s">
        <v>1866</v>
      </c>
      <c r="B343" s="44" t="s">
        <v>1818</v>
      </c>
      <c r="C343" s="44" t="s">
        <v>1854</v>
      </c>
      <c r="D343" s="44" t="s">
        <v>1867</v>
      </c>
      <c r="E343" s="44" t="s">
        <v>1868</v>
      </c>
      <c r="F343" s="44" t="s">
        <v>1869</v>
      </c>
      <c r="G343" s="44" t="s">
        <v>726</v>
      </c>
      <c r="H343" s="44"/>
      <c r="I343" s="44"/>
      <c r="J343" s="44"/>
      <c r="K343" s="44"/>
      <c r="L343" s="44"/>
      <c r="M343" s="44"/>
      <c r="N343" s="44"/>
    </row>
    <row r="344" spans="1:14" ht="48" customHeight="1" x14ac:dyDescent="0.3">
      <c r="A344" s="43" t="s">
        <v>1870</v>
      </c>
      <c r="B344" s="43" t="s">
        <v>1818</v>
      </c>
      <c r="C344" s="43" t="s">
        <v>1854</v>
      </c>
      <c r="D344" s="43" t="s">
        <v>1871</v>
      </c>
      <c r="E344" s="43" t="s">
        <v>1872</v>
      </c>
      <c r="F344" s="43" t="s">
        <v>1873</v>
      </c>
      <c r="G344" s="43" t="s">
        <v>726</v>
      </c>
      <c r="H344" s="43"/>
      <c r="I344" s="43"/>
      <c r="J344" s="43"/>
      <c r="K344" s="43"/>
      <c r="L344" s="43"/>
      <c r="M344" s="43"/>
      <c r="N344" s="43"/>
    </row>
    <row r="345" spans="1:14" ht="48" customHeight="1" x14ac:dyDescent="0.3">
      <c r="A345" s="44" t="s">
        <v>1874</v>
      </c>
      <c r="B345" s="44" t="s">
        <v>1818</v>
      </c>
      <c r="C345" s="44" t="s">
        <v>1854</v>
      </c>
      <c r="D345" s="44" t="s">
        <v>1875</v>
      </c>
      <c r="E345" s="44" t="s">
        <v>1876</v>
      </c>
      <c r="F345" s="44" t="s">
        <v>1877</v>
      </c>
      <c r="G345" s="44" t="s">
        <v>726</v>
      </c>
      <c r="H345" s="44"/>
      <c r="I345" s="44"/>
      <c r="J345" s="44"/>
      <c r="K345" s="44"/>
      <c r="L345" s="44"/>
      <c r="M345" s="44"/>
      <c r="N345" s="44"/>
    </row>
    <row r="346" spans="1:14" ht="48" customHeight="1" x14ac:dyDescent="0.3">
      <c r="A346" s="43" t="s">
        <v>1878</v>
      </c>
      <c r="B346" s="43" t="s">
        <v>1818</v>
      </c>
      <c r="C346" s="43" t="s">
        <v>1879</v>
      </c>
      <c r="D346" s="43" t="s">
        <v>1880</v>
      </c>
      <c r="E346" s="43" t="s">
        <v>1881</v>
      </c>
      <c r="F346" s="43" t="s">
        <v>1882</v>
      </c>
      <c r="G346" s="43" t="s">
        <v>726</v>
      </c>
      <c r="H346" s="43"/>
      <c r="I346" s="43"/>
      <c r="J346" s="43"/>
      <c r="K346" s="43"/>
      <c r="L346" s="43"/>
      <c r="M346" s="43"/>
      <c r="N346" s="43"/>
    </row>
    <row r="347" spans="1:14" ht="48" customHeight="1" x14ac:dyDescent="0.3">
      <c r="A347" s="44" t="s">
        <v>1883</v>
      </c>
      <c r="B347" s="44" t="s">
        <v>1818</v>
      </c>
      <c r="C347" s="44" t="s">
        <v>1884</v>
      </c>
      <c r="D347" s="44" t="s">
        <v>1885</v>
      </c>
      <c r="E347" s="44" t="s">
        <v>1886</v>
      </c>
      <c r="F347" s="44" t="s">
        <v>1887</v>
      </c>
      <c r="G347" s="44" t="s">
        <v>726</v>
      </c>
      <c r="H347" s="44"/>
      <c r="I347" s="44"/>
      <c r="J347" s="44"/>
      <c r="K347" s="44"/>
      <c r="L347" s="44"/>
      <c r="M347" s="44"/>
      <c r="N347" s="44"/>
    </row>
    <row r="348" spans="1:14" ht="48" customHeight="1" x14ac:dyDescent="0.3">
      <c r="A348" s="43" t="s">
        <v>1888</v>
      </c>
      <c r="B348" s="43" t="s">
        <v>1818</v>
      </c>
      <c r="C348" s="43" t="s">
        <v>1889</v>
      </c>
      <c r="D348" s="43" t="s">
        <v>1890</v>
      </c>
      <c r="E348" s="43" t="s">
        <v>1891</v>
      </c>
      <c r="F348" s="43" t="s">
        <v>1892</v>
      </c>
      <c r="G348" s="43" t="s">
        <v>726</v>
      </c>
      <c r="H348" s="43"/>
      <c r="I348" s="43"/>
      <c r="J348" s="43"/>
      <c r="K348" s="43"/>
      <c r="L348" s="43"/>
      <c r="M348" s="43"/>
      <c r="N348" s="43"/>
    </row>
    <row r="349" spans="1:14" ht="48" customHeight="1" x14ac:dyDescent="0.3">
      <c r="A349" s="44" t="s">
        <v>1893</v>
      </c>
      <c r="B349" s="44" t="s">
        <v>1818</v>
      </c>
      <c r="C349" s="44" t="s">
        <v>1894</v>
      </c>
      <c r="D349" s="44" t="s">
        <v>1895</v>
      </c>
      <c r="E349" s="44" t="s">
        <v>1896</v>
      </c>
      <c r="F349" s="44" t="s">
        <v>1897</v>
      </c>
      <c r="G349" s="44" t="s">
        <v>726</v>
      </c>
      <c r="H349" s="44"/>
      <c r="I349" s="44"/>
      <c r="J349" s="44"/>
      <c r="K349" s="44"/>
      <c r="L349" s="44"/>
      <c r="M349" s="44"/>
      <c r="N349" s="44"/>
    </row>
    <row r="350" spans="1:14" ht="48" customHeight="1" x14ac:dyDescent="0.3">
      <c r="A350" s="43" t="s">
        <v>1898</v>
      </c>
      <c r="B350" s="43" t="s">
        <v>1818</v>
      </c>
      <c r="C350" s="43" t="s">
        <v>1899</v>
      </c>
      <c r="D350" s="43" t="s">
        <v>1900</v>
      </c>
      <c r="E350" s="43" t="s">
        <v>1901</v>
      </c>
      <c r="F350" s="43" t="s">
        <v>1902</v>
      </c>
      <c r="G350" s="43" t="s">
        <v>726</v>
      </c>
      <c r="H350" s="43"/>
      <c r="I350" s="43"/>
      <c r="J350" s="43"/>
      <c r="K350" s="43"/>
      <c r="L350" s="43"/>
      <c r="M350" s="43"/>
      <c r="N350" s="43"/>
    </row>
    <row r="351" spans="1:14" ht="48" customHeight="1" x14ac:dyDescent="0.3">
      <c r="A351" s="44" t="s">
        <v>1903</v>
      </c>
      <c r="B351" s="44" t="s">
        <v>1818</v>
      </c>
      <c r="C351" s="44" t="s">
        <v>1904</v>
      </c>
      <c r="D351" s="44" t="s">
        <v>1905</v>
      </c>
      <c r="E351" s="44" t="s">
        <v>1906</v>
      </c>
      <c r="F351" s="44" t="s">
        <v>1907</v>
      </c>
      <c r="G351" s="44" t="s">
        <v>726</v>
      </c>
      <c r="H351" s="44"/>
      <c r="I351" s="44"/>
      <c r="J351" s="44"/>
      <c r="K351" s="44"/>
      <c r="L351" s="44"/>
      <c r="M351" s="44"/>
      <c r="N351" s="44"/>
    </row>
    <row r="352" spans="1:14" ht="48" customHeight="1" x14ac:dyDescent="0.3">
      <c r="A352" s="43" t="s">
        <v>1908</v>
      </c>
      <c r="B352" s="43" t="s">
        <v>1818</v>
      </c>
      <c r="C352" s="43" t="s">
        <v>1909</v>
      </c>
      <c r="D352" s="43" t="s">
        <v>1910</v>
      </c>
      <c r="E352" s="43" t="s">
        <v>1911</v>
      </c>
      <c r="F352" s="43" t="s">
        <v>1912</v>
      </c>
      <c r="G352" s="43" t="s">
        <v>726</v>
      </c>
      <c r="H352" s="43"/>
      <c r="I352" s="43"/>
      <c r="J352" s="43"/>
      <c r="K352" s="43"/>
      <c r="L352" s="43"/>
      <c r="M352" s="43"/>
      <c r="N352" s="43"/>
    </row>
    <row r="353" spans="1:14" ht="48" customHeight="1" x14ac:dyDescent="0.3">
      <c r="A353" s="44" t="s">
        <v>1913</v>
      </c>
      <c r="B353" s="44" t="s">
        <v>1818</v>
      </c>
      <c r="C353" s="44" t="s">
        <v>1914</v>
      </c>
      <c r="D353" s="44" t="s">
        <v>1915</v>
      </c>
      <c r="E353" s="44" t="s">
        <v>1916</v>
      </c>
      <c r="F353" s="44" t="s">
        <v>1917</v>
      </c>
      <c r="G353" s="44" t="s">
        <v>726</v>
      </c>
      <c r="H353" s="44"/>
      <c r="I353" s="44"/>
      <c r="J353" s="44"/>
      <c r="K353" s="44"/>
      <c r="L353" s="44"/>
      <c r="M353" s="44"/>
      <c r="N353" s="44"/>
    </row>
    <row r="354" spans="1:14" ht="48" customHeight="1" x14ac:dyDescent="0.3">
      <c r="A354" s="43" t="s">
        <v>1918</v>
      </c>
      <c r="B354" s="43" t="s">
        <v>1818</v>
      </c>
      <c r="C354" s="43" t="s">
        <v>1919</v>
      </c>
      <c r="D354" s="43" t="s">
        <v>1920</v>
      </c>
      <c r="E354" s="43" t="s">
        <v>1921</v>
      </c>
      <c r="F354" s="43" t="s">
        <v>1922</v>
      </c>
      <c r="G354" s="43" t="s">
        <v>726</v>
      </c>
      <c r="H354" s="43"/>
      <c r="I354" s="43"/>
      <c r="J354" s="43"/>
      <c r="K354" s="43"/>
      <c r="L354" s="43"/>
      <c r="M354" s="43"/>
      <c r="N354" s="43"/>
    </row>
    <row r="355" spans="1:14" ht="48" customHeight="1" x14ac:dyDescent="0.3">
      <c r="A355" s="44" t="s">
        <v>1923</v>
      </c>
      <c r="B355" s="44" t="s">
        <v>1818</v>
      </c>
      <c r="C355" s="44" t="s">
        <v>1924</v>
      </c>
      <c r="D355" s="44" t="s">
        <v>1925</v>
      </c>
      <c r="E355" s="44" t="s">
        <v>1926</v>
      </c>
      <c r="F355" s="44" t="s">
        <v>1927</v>
      </c>
      <c r="G355" s="44" t="s">
        <v>726</v>
      </c>
      <c r="H355" s="44"/>
      <c r="I355" s="44"/>
      <c r="J355" s="44"/>
      <c r="K355" s="44"/>
      <c r="L355" s="44"/>
      <c r="M355" s="44"/>
      <c r="N355" s="44"/>
    </row>
    <row r="356" spans="1:14" ht="48" customHeight="1" x14ac:dyDescent="0.3">
      <c r="A356" s="43" t="s">
        <v>1928</v>
      </c>
      <c r="B356" s="43" t="s">
        <v>1818</v>
      </c>
      <c r="C356" s="43" t="s">
        <v>1929</v>
      </c>
      <c r="D356" s="43" t="s">
        <v>1930</v>
      </c>
      <c r="E356" s="43" t="s">
        <v>1931</v>
      </c>
      <c r="F356" s="43" t="s">
        <v>1932</v>
      </c>
      <c r="G356" s="43" t="s">
        <v>726</v>
      </c>
      <c r="H356" s="43"/>
      <c r="I356" s="43"/>
      <c r="J356" s="43"/>
      <c r="K356" s="43"/>
      <c r="L356" s="43"/>
      <c r="M356" s="43"/>
      <c r="N356" s="43"/>
    </row>
    <row r="357" spans="1:14" ht="48" customHeight="1" x14ac:dyDescent="0.3">
      <c r="A357" s="44" t="s">
        <v>1933</v>
      </c>
      <c r="B357" s="44" t="s">
        <v>1818</v>
      </c>
      <c r="C357" s="44" t="s">
        <v>1934</v>
      </c>
      <c r="D357" s="44" t="s">
        <v>1935</v>
      </c>
      <c r="E357" s="44" t="s">
        <v>1936</v>
      </c>
      <c r="F357" s="44" t="s">
        <v>1937</v>
      </c>
      <c r="G357" s="44" t="s">
        <v>726</v>
      </c>
      <c r="H357" s="44"/>
      <c r="I357" s="44"/>
      <c r="J357" s="44"/>
      <c r="K357" s="44"/>
      <c r="L357" s="44"/>
      <c r="M357" s="44"/>
      <c r="N357" s="44"/>
    </row>
    <row r="358" spans="1:14" ht="48" customHeight="1" x14ac:dyDescent="0.3">
      <c r="A358" s="43" t="s">
        <v>1938</v>
      </c>
      <c r="B358" s="43" t="s">
        <v>1818</v>
      </c>
      <c r="C358" s="43" t="s">
        <v>1939</v>
      </c>
      <c r="D358" s="43" t="s">
        <v>1940</v>
      </c>
      <c r="E358" s="43" t="s">
        <v>1941</v>
      </c>
      <c r="F358" s="43" t="s">
        <v>1942</v>
      </c>
      <c r="G358" s="43" t="s">
        <v>726</v>
      </c>
      <c r="H358" s="43"/>
      <c r="I358" s="43"/>
      <c r="J358" s="43"/>
      <c r="K358" s="43"/>
      <c r="L358" s="43"/>
      <c r="M358" s="43"/>
      <c r="N358" s="43"/>
    </row>
    <row r="359" spans="1:14" ht="48" customHeight="1" x14ac:dyDescent="0.3">
      <c r="A359" s="44" t="s">
        <v>1943</v>
      </c>
      <c r="B359" s="44" t="s">
        <v>1818</v>
      </c>
      <c r="C359" s="44" t="s">
        <v>1944</v>
      </c>
      <c r="D359" s="44" t="s">
        <v>1945</v>
      </c>
      <c r="E359" s="44" t="s">
        <v>1946</v>
      </c>
      <c r="F359" s="44" t="s">
        <v>1947</v>
      </c>
      <c r="G359" s="44" t="s">
        <v>726</v>
      </c>
      <c r="H359" s="44"/>
      <c r="I359" s="44"/>
      <c r="J359" s="44"/>
      <c r="K359" s="44"/>
      <c r="L359" s="44"/>
      <c r="M359" s="44"/>
      <c r="N359" s="44"/>
    </row>
    <row r="360" spans="1:14" ht="48" customHeight="1" x14ac:dyDescent="0.3">
      <c r="A360" s="43" t="s">
        <v>1948</v>
      </c>
      <c r="B360" s="43" t="s">
        <v>1818</v>
      </c>
      <c r="C360" s="43" t="s">
        <v>1949</v>
      </c>
      <c r="D360" s="43" t="s">
        <v>1950</v>
      </c>
      <c r="E360" s="43" t="s">
        <v>1951</v>
      </c>
      <c r="F360" s="43" t="s">
        <v>1952</v>
      </c>
      <c r="G360" s="43" t="s">
        <v>726</v>
      </c>
      <c r="H360" s="43"/>
      <c r="I360" s="43"/>
      <c r="J360" s="43"/>
      <c r="K360" s="43"/>
      <c r="L360" s="43"/>
      <c r="M360" s="43"/>
      <c r="N360" s="43"/>
    </row>
    <row r="361" spans="1:14" ht="48" customHeight="1" x14ac:dyDescent="0.3">
      <c r="A361" s="44" t="s">
        <v>1953</v>
      </c>
      <c r="B361" s="44" t="s">
        <v>1818</v>
      </c>
      <c r="C361" s="44" t="s">
        <v>582</v>
      </c>
      <c r="D361" s="44" t="s">
        <v>1954</v>
      </c>
      <c r="E361" s="44" t="s">
        <v>1955</v>
      </c>
      <c r="F361" s="44" t="s">
        <v>1877</v>
      </c>
      <c r="G361" s="44" t="s">
        <v>726</v>
      </c>
      <c r="H361" s="44"/>
      <c r="I361" s="44"/>
      <c r="J361" s="44"/>
      <c r="K361" s="44"/>
      <c r="L361" s="44"/>
      <c r="M361" s="44"/>
      <c r="N361" s="44"/>
    </row>
    <row r="362" spans="1:14" ht="48" customHeight="1" x14ac:dyDescent="0.3">
      <c r="A362" s="43" t="s">
        <v>1956</v>
      </c>
      <c r="B362" s="43" t="s">
        <v>1818</v>
      </c>
      <c r="C362" s="43" t="s">
        <v>1879</v>
      </c>
      <c r="D362" s="43" t="s">
        <v>1957</v>
      </c>
      <c r="E362" s="43" t="s">
        <v>1958</v>
      </c>
      <c r="F362" s="43" t="s">
        <v>1959</v>
      </c>
      <c r="G362" s="43" t="s">
        <v>726</v>
      </c>
      <c r="H362" s="43"/>
      <c r="I362" s="43"/>
      <c r="J362" s="43"/>
      <c r="K362" s="43"/>
      <c r="L362" s="43"/>
      <c r="M362" s="43"/>
      <c r="N362" s="43"/>
    </row>
    <row r="363" spans="1:14" ht="21.75" customHeight="1" x14ac:dyDescent="0.3">
      <c r="A363" s="60" t="s">
        <v>1960</v>
      </c>
      <c r="B363" s="60"/>
      <c r="C363" s="60"/>
      <c r="D363" s="60"/>
      <c r="E363" s="60"/>
      <c r="F363" s="60"/>
      <c r="G363" s="60"/>
      <c r="H363" s="60"/>
      <c r="I363" s="60"/>
      <c r="J363" s="60"/>
      <c r="K363" s="60"/>
      <c r="L363" s="60"/>
      <c r="M363" s="60"/>
      <c r="N363" s="60"/>
    </row>
    <row r="364" spans="1:14" ht="48" customHeight="1" x14ac:dyDescent="0.3">
      <c r="A364" s="43" t="s">
        <v>1961</v>
      </c>
      <c r="B364" s="43" t="s">
        <v>1818</v>
      </c>
      <c r="C364" s="43" t="s">
        <v>1829</v>
      </c>
      <c r="D364" s="43" t="s">
        <v>1962</v>
      </c>
      <c r="E364" s="43" t="s">
        <v>1963</v>
      </c>
      <c r="F364" s="43" t="s">
        <v>1964</v>
      </c>
      <c r="G364" s="43" t="s">
        <v>726</v>
      </c>
      <c r="H364" s="43"/>
      <c r="I364" s="43"/>
      <c r="J364" s="43"/>
      <c r="K364" s="43"/>
      <c r="L364" s="43"/>
      <c r="M364" s="43"/>
      <c r="N364" s="43"/>
    </row>
    <row r="365" spans="1:14" ht="48" customHeight="1" x14ac:dyDescent="0.3">
      <c r="A365" s="44" t="s">
        <v>1965</v>
      </c>
      <c r="B365" s="44" t="s">
        <v>1818</v>
      </c>
      <c r="C365" s="44" t="s">
        <v>1966</v>
      </c>
      <c r="D365" s="44" t="s">
        <v>1967</v>
      </c>
      <c r="E365" s="44" t="s">
        <v>1968</v>
      </c>
      <c r="F365" s="44" t="s">
        <v>1969</v>
      </c>
      <c r="G365" s="44" t="s">
        <v>726</v>
      </c>
      <c r="H365" s="44"/>
      <c r="I365" s="44"/>
      <c r="J365" s="44"/>
      <c r="K365" s="44"/>
      <c r="L365" s="44"/>
      <c r="M365" s="44"/>
      <c r="N365" s="44"/>
    </row>
    <row r="366" spans="1:14" ht="48" customHeight="1" x14ac:dyDescent="0.3">
      <c r="A366" s="43" t="s">
        <v>1970</v>
      </c>
      <c r="B366" s="43" t="s">
        <v>1971</v>
      </c>
      <c r="C366" s="43" t="s">
        <v>1972</v>
      </c>
      <c r="D366" s="43" t="s">
        <v>1973</v>
      </c>
      <c r="E366" s="43" t="s">
        <v>1974</v>
      </c>
      <c r="F366" s="43" t="s">
        <v>1975</v>
      </c>
      <c r="G366" s="43" t="s">
        <v>726</v>
      </c>
      <c r="H366" s="43"/>
      <c r="I366" s="43"/>
      <c r="J366" s="43"/>
      <c r="K366" s="43"/>
      <c r="L366" s="43"/>
      <c r="M366" s="43"/>
      <c r="N366" s="43"/>
    </row>
    <row r="367" spans="1:14" ht="48" customHeight="1" x14ac:dyDescent="0.3">
      <c r="A367" s="44" t="s">
        <v>1976</v>
      </c>
      <c r="B367" s="44" t="s">
        <v>1971</v>
      </c>
      <c r="C367" s="44" t="s">
        <v>1977</v>
      </c>
      <c r="D367" s="44" t="s">
        <v>1978</v>
      </c>
      <c r="E367" s="44" t="s">
        <v>1979</v>
      </c>
      <c r="F367" s="44" t="s">
        <v>1980</v>
      </c>
      <c r="G367" s="44" t="s">
        <v>726</v>
      </c>
      <c r="H367" s="44"/>
      <c r="I367" s="44"/>
      <c r="J367" s="44"/>
      <c r="K367" s="44"/>
      <c r="L367" s="44"/>
      <c r="M367" s="44"/>
      <c r="N367" s="44"/>
    </row>
    <row r="368" spans="1:14" ht="48" customHeight="1" x14ac:dyDescent="0.3">
      <c r="A368" s="43" t="s">
        <v>1981</v>
      </c>
      <c r="B368" s="43" t="s">
        <v>1818</v>
      </c>
      <c r="C368" s="43" t="s">
        <v>1839</v>
      </c>
      <c r="D368" s="43" t="s">
        <v>1982</v>
      </c>
      <c r="E368" s="43" t="s">
        <v>1983</v>
      </c>
      <c r="F368" s="43" t="s">
        <v>1984</v>
      </c>
      <c r="G368" s="43" t="s">
        <v>726</v>
      </c>
      <c r="H368" s="43"/>
      <c r="I368" s="43"/>
      <c r="J368" s="43"/>
      <c r="K368" s="43"/>
      <c r="L368" s="43"/>
      <c r="M368" s="43"/>
      <c r="N368" s="43"/>
    </row>
    <row r="369" spans="1:14" ht="48" customHeight="1" x14ac:dyDescent="0.3">
      <c r="A369" s="44" t="s">
        <v>1985</v>
      </c>
      <c r="B369" s="44" t="s">
        <v>1818</v>
      </c>
      <c r="C369" s="44" t="s">
        <v>1854</v>
      </c>
      <c r="D369" s="44" t="s">
        <v>1986</v>
      </c>
      <c r="E369" s="44" t="s">
        <v>1987</v>
      </c>
      <c r="F369" s="44" t="s">
        <v>1988</v>
      </c>
      <c r="G369" s="44" t="s">
        <v>726</v>
      </c>
      <c r="H369" s="44"/>
      <c r="I369" s="44"/>
      <c r="J369" s="44"/>
      <c r="K369" s="44"/>
      <c r="L369" s="44"/>
      <c r="M369" s="44"/>
      <c r="N369" s="44"/>
    </row>
    <row r="370" spans="1:14" ht="48" customHeight="1" x14ac:dyDescent="0.3">
      <c r="A370" s="43" t="s">
        <v>1989</v>
      </c>
      <c r="B370" s="43" t="s">
        <v>1971</v>
      </c>
      <c r="C370" s="43" t="s">
        <v>804</v>
      </c>
      <c r="D370" s="43" t="s">
        <v>1990</v>
      </c>
      <c r="E370" s="43" t="s">
        <v>1991</v>
      </c>
      <c r="F370" s="43" t="s">
        <v>1992</v>
      </c>
      <c r="G370" s="43" t="s">
        <v>726</v>
      </c>
      <c r="H370" s="43"/>
      <c r="I370" s="43"/>
      <c r="J370" s="43"/>
      <c r="K370" s="43"/>
      <c r="L370" s="43"/>
      <c r="M370" s="43"/>
      <c r="N370" s="43"/>
    </row>
    <row r="371" spans="1:14" ht="48" customHeight="1" x14ac:dyDescent="0.3">
      <c r="A371" s="44" t="s">
        <v>1993</v>
      </c>
      <c r="B371" s="44" t="s">
        <v>1818</v>
      </c>
      <c r="C371" s="44" t="s">
        <v>1854</v>
      </c>
      <c r="D371" s="44" t="s">
        <v>1994</v>
      </c>
      <c r="E371" s="44" t="s">
        <v>1995</v>
      </c>
      <c r="F371" s="44" t="s">
        <v>1996</v>
      </c>
      <c r="G371" s="44" t="s">
        <v>726</v>
      </c>
      <c r="H371" s="44"/>
      <c r="I371" s="44"/>
      <c r="J371" s="44"/>
      <c r="K371" s="44"/>
      <c r="L371" s="44"/>
      <c r="M371" s="44"/>
      <c r="N371" s="44"/>
    </row>
    <row r="372" spans="1:14" ht="48" customHeight="1" x14ac:dyDescent="0.3">
      <c r="A372" s="43" t="s">
        <v>1997</v>
      </c>
      <c r="B372" s="43" t="s">
        <v>1971</v>
      </c>
      <c r="C372" s="43" t="s">
        <v>1998</v>
      </c>
      <c r="D372" s="43" t="s">
        <v>1999</v>
      </c>
      <c r="E372" s="43" t="s">
        <v>2000</v>
      </c>
      <c r="F372" s="43" t="s">
        <v>2001</v>
      </c>
      <c r="G372" s="43" t="s">
        <v>726</v>
      </c>
      <c r="H372" s="43"/>
      <c r="I372" s="43"/>
      <c r="J372" s="43"/>
      <c r="K372" s="43"/>
      <c r="L372" s="43"/>
      <c r="M372" s="43"/>
      <c r="N372" s="43"/>
    </row>
    <row r="373" spans="1:14" ht="48" customHeight="1" x14ac:dyDescent="0.3">
      <c r="A373" s="44" t="s">
        <v>2002</v>
      </c>
      <c r="B373" s="44" t="s">
        <v>1818</v>
      </c>
      <c r="C373" s="44" t="s">
        <v>2003</v>
      </c>
      <c r="D373" s="44" t="s">
        <v>2004</v>
      </c>
      <c r="E373" s="44" t="s">
        <v>2005</v>
      </c>
      <c r="F373" s="44" t="s">
        <v>2006</v>
      </c>
      <c r="G373" s="44" t="s">
        <v>726</v>
      </c>
      <c r="H373" s="44"/>
      <c r="I373" s="44"/>
      <c r="J373" s="44"/>
      <c r="K373" s="44"/>
      <c r="L373" s="44"/>
      <c r="M373" s="44"/>
      <c r="N373" s="44"/>
    </row>
  </sheetData>
  <mergeCells count="32">
    <mergeCell ref="A332:N332"/>
    <mergeCell ref="A363:N363"/>
    <mergeCell ref="A261:N261"/>
    <mergeCell ref="A269:N269"/>
    <mergeCell ref="A295:N295"/>
    <mergeCell ref="A308:N308"/>
    <mergeCell ref="A321:N321"/>
    <mergeCell ref="A219:N219"/>
    <mergeCell ref="A228:N228"/>
    <mergeCell ref="A237:N237"/>
    <mergeCell ref="A245:N245"/>
    <mergeCell ref="A253:N253"/>
    <mergeCell ref="A168:N168"/>
    <mergeCell ref="A173:N173"/>
    <mergeCell ref="A178:N178"/>
    <mergeCell ref="A184:N184"/>
    <mergeCell ref="A210:N210"/>
    <mergeCell ref="A133:N133"/>
    <mergeCell ref="A141:N141"/>
    <mergeCell ref="A148:N148"/>
    <mergeCell ref="A156:N156"/>
    <mergeCell ref="A162:N162"/>
    <mergeCell ref="A31:N31"/>
    <mergeCell ref="A52:N52"/>
    <mergeCell ref="A78:N78"/>
    <mergeCell ref="A104:N104"/>
    <mergeCell ref="A125:N125"/>
    <mergeCell ref="A1:N1"/>
    <mergeCell ref="A10:N10"/>
    <mergeCell ref="A22:N22"/>
    <mergeCell ref="A25:N25"/>
    <mergeCell ref="A28:N28"/>
  </mergeCells>
  <dataValidations count="5">
    <dataValidation type="list" allowBlank="1" sqref="H3:H373" xr:uid="{00000000-0002-0000-0400-000000000000}">
      <formula1>"Not Assessed,Compliant,Partially Compliant,Non-Compliant,Not Applicable"</formula1>
      <formula2>0</formula2>
    </dataValidation>
    <dataValidation type="list" allowBlank="1" sqref="I3:I373" xr:uid="{00000000-0002-0000-0400-000001000000}">
      <formula1>"L0 — Absent,L1 — Documented,L2 — Implemented,L3 — Monitored,L4 — Optimised"</formula1>
      <formula2>0</formula2>
    </dataValidation>
    <dataValidation type="list" allowBlank="1" sqref="J3:J373" xr:uid="{00000000-0002-0000-0400-000002000000}">
      <formula1>"Not Started,Planning,In Progress,Testing,Implemented,Verified"</formula1>
      <formula2>0</formula2>
    </dataValidation>
    <dataValidation type="list" allowBlank="1" sqref="M3:M373" xr:uid="{00000000-0002-0000-0400-000003000000}">
      <formula1>"Critical,High,Medium,Low,N/A"</formula1>
      <formula2>0</formula2>
    </dataValidation>
    <dataValidation type="list" allowBlank="1" sqref="N3:N373" xr:uid="{00000000-0002-0000-0400-000004000000}">
      <formula1>"Not Collected,In Progress,Collected,Validated,Audit-Ready"</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C0392B"/>
  </sheetPr>
  <dimension ref="A1:J79"/>
  <sheetViews>
    <sheetView zoomScaleNormal="100" workbookViewId="0">
      <pane ySplit="2" topLeftCell="A3" activePane="bottomLeft" state="frozen"/>
      <selection pane="bottomLeft" activeCell="A5" sqref="A5:B5"/>
    </sheetView>
  </sheetViews>
  <sheetFormatPr defaultColWidth="8.6640625" defaultRowHeight="14.4" x14ac:dyDescent="0.3"/>
  <cols>
    <col min="1" max="1" width="25.88671875" customWidth="1"/>
    <col min="2" max="2" width="13" customWidth="1"/>
    <col min="3" max="3" width="15.44140625" bestFit="1" customWidth="1"/>
    <col min="4" max="4" width="13" customWidth="1"/>
    <col min="5" max="5" width="17" bestFit="1" customWidth="1"/>
    <col min="6" max="6" width="13.6640625" bestFit="1" customWidth="1"/>
    <col min="7" max="8" width="16" customWidth="1"/>
  </cols>
  <sheetData>
    <row r="1" spans="1:10" ht="31.5" customHeight="1" x14ac:dyDescent="0.4">
      <c r="A1" s="196" t="s">
        <v>2566</v>
      </c>
      <c r="B1" s="196"/>
      <c r="C1" s="196"/>
      <c r="D1" s="196"/>
      <c r="E1" s="196"/>
      <c r="F1" s="196"/>
      <c r="G1" s="196"/>
      <c r="H1" s="196"/>
      <c r="I1" s="196"/>
      <c r="J1" s="196"/>
    </row>
    <row r="2" spans="1:10" x14ac:dyDescent="0.3">
      <c r="A2" s="197" t="s">
        <v>2567</v>
      </c>
      <c r="B2" s="197"/>
      <c r="C2" s="197"/>
      <c r="D2" s="197"/>
      <c r="E2" s="197"/>
      <c r="F2" s="197"/>
      <c r="G2" s="197"/>
      <c r="H2" s="197"/>
      <c r="I2" s="197"/>
      <c r="J2" s="197"/>
    </row>
    <row r="3" spans="1:10" ht="24" customHeight="1" x14ac:dyDescent="0.3"/>
    <row r="4" spans="1:10" ht="23.25" customHeight="1" x14ac:dyDescent="0.3">
      <c r="A4" s="244" t="s">
        <v>2568</v>
      </c>
      <c r="B4" s="244"/>
      <c r="C4" s="244" t="s">
        <v>2569</v>
      </c>
      <c r="D4" s="244"/>
      <c r="E4" s="244" t="s">
        <v>2570</v>
      </c>
      <c r="F4" s="244"/>
      <c r="G4" s="244" t="s">
        <v>2571</v>
      </c>
      <c r="H4" s="244"/>
      <c r="I4" s="244" t="s">
        <v>2572</v>
      </c>
      <c r="J4" s="244"/>
    </row>
    <row r="5" spans="1:10" ht="40.049999999999997" customHeight="1" x14ac:dyDescent="0.5">
      <c r="A5" s="242">
        <f>IFERROR(COUNTIF('Assessment + Implementation'!K:K,"Compliant")/COUNTA('Assessment + Implementation'!A5:A77),0)</f>
        <v>2.7397260273972601E-2</v>
      </c>
      <c r="B5" s="242"/>
      <c r="C5" s="242">
        <f>IFERROR((COUNTIF('Assessment + Implementation'!P:P,"Implemented")+COUNTIF('Assessment + Implementation'!P:P,"Verified"))/COUNTA('Assessment + Implementation'!A5:A77),0)</f>
        <v>2.7397260273972601E-2</v>
      </c>
      <c r="D5" s="242"/>
      <c r="E5" s="242">
        <f>IFERROR((COUNTIF('Assessment + Implementation'!V:V,"Validated")+COUNTIF('Assessment + Implementation'!V:V,"Audit-Ready"))/COUNTA('Assessment + Implementation'!A5:A77),0)</f>
        <v>2.7397260273972601E-2</v>
      </c>
      <c r="F5" s="242"/>
      <c r="G5" s="242">
        <f>IFERROR(SUM('Assessment + Implementation'!L5:L77)/(COUNTA('Assessment + Implementation'!A5:A77)*4),0)</f>
        <v>5.1369863013698627E-2</v>
      </c>
      <c r="H5" s="242"/>
      <c r="I5" s="243">
        <f>COUNTIF('Assessment + Implementation'!O:O,"Critical")+COUNTIF('Assessment + Implementation'!D5:D77,"Critical")-COUNTIFS('Assessment + Implementation'!D5:D77,"Critical",'Assessment + Implementation'!K5:K77,"Compliant")</f>
        <v>11</v>
      </c>
      <c r="J5" s="243"/>
    </row>
    <row r="6" spans="1:10" ht="31.8" customHeight="1" x14ac:dyDescent="0.3">
      <c r="A6" s="245" t="s">
        <v>2573</v>
      </c>
      <c r="B6" s="245"/>
      <c r="C6" s="245" t="s">
        <v>2574</v>
      </c>
      <c r="D6" s="245"/>
      <c r="E6" s="245" t="s">
        <v>2575</v>
      </c>
      <c r="F6" s="245"/>
      <c r="G6" s="245" t="s">
        <v>2576</v>
      </c>
      <c r="H6" s="245"/>
      <c r="I6" s="245" t="s">
        <v>2577</v>
      </c>
      <c r="J6" s="245"/>
    </row>
    <row r="8" spans="1:10" ht="15" customHeight="1" x14ac:dyDescent="0.3"/>
    <row r="9" spans="1:10" ht="15" customHeight="1" thickBot="1" x14ac:dyDescent="0.35">
      <c r="A9" s="198" t="s">
        <v>2578</v>
      </c>
      <c r="B9" s="198"/>
      <c r="C9" s="198"/>
      <c r="D9" s="198"/>
      <c r="E9" s="198"/>
      <c r="F9" s="198"/>
      <c r="H9" s="250" t="s">
        <v>2642</v>
      </c>
      <c r="I9" s="250" t="s">
        <v>2643</v>
      </c>
    </row>
    <row r="10" spans="1:10" ht="15" customHeight="1" x14ac:dyDescent="0.3">
      <c r="A10" s="223" t="s">
        <v>2007</v>
      </c>
      <c r="B10" s="203" t="s">
        <v>2008</v>
      </c>
      <c r="C10" s="203" t="s">
        <v>2009</v>
      </c>
      <c r="D10" s="203" t="s">
        <v>2010</v>
      </c>
      <c r="E10" s="203" t="s">
        <v>2011</v>
      </c>
      <c r="F10" s="204" t="s">
        <v>2579</v>
      </c>
      <c r="H10" s="251" t="s">
        <v>2008</v>
      </c>
      <c r="I10" s="251">
        <f>B11</f>
        <v>2</v>
      </c>
    </row>
    <row r="11" spans="1:10" ht="18" thickBot="1" x14ac:dyDescent="0.35">
      <c r="A11" s="224">
        <f>COUNTIF('Assessment + Implementation'!K5:K77,"Not Assessed")</f>
        <v>0</v>
      </c>
      <c r="B11" s="225">
        <f>COUNTIF('Assessment + Implementation'!K5:K77,"Compliant")</f>
        <v>2</v>
      </c>
      <c r="C11" s="226">
        <f>COUNTIF('Assessment + Implementation'!K5:K77,"Partially Compliant")</f>
        <v>4</v>
      </c>
      <c r="D11" s="227">
        <f>COUNTIF('Assessment + Implementation'!K5:K77,"Non-Compliant")</f>
        <v>3</v>
      </c>
      <c r="E11" s="228">
        <f>COUNTIF('Assessment + Implementation'!K5:K77,"Not Applicable")</f>
        <v>1</v>
      </c>
      <c r="F11" s="229">
        <f>COUNTA('Assessment + Implementation'!A5:A77)-COUNTA('Assessment + Implementation'!K5:K77)</f>
        <v>63</v>
      </c>
      <c r="H11" s="251" t="s">
        <v>2009</v>
      </c>
      <c r="I11" s="251">
        <f>C11</f>
        <v>4</v>
      </c>
    </row>
    <row r="12" spans="1:10" x14ac:dyDescent="0.3">
      <c r="H12" s="251" t="s">
        <v>2010</v>
      </c>
      <c r="I12" s="251">
        <f>D11</f>
        <v>3</v>
      </c>
    </row>
    <row r="13" spans="1:10" ht="15" customHeight="1" thickBot="1" x14ac:dyDescent="0.35">
      <c r="A13" s="199" t="s">
        <v>2580</v>
      </c>
      <c r="B13" s="199"/>
      <c r="C13" s="199"/>
      <c r="D13" s="199"/>
      <c r="E13" s="199"/>
      <c r="F13" s="199"/>
      <c r="H13" s="251" t="s">
        <v>2011</v>
      </c>
      <c r="I13" s="251">
        <f>E11</f>
        <v>1</v>
      </c>
    </row>
    <row r="14" spans="1:10" ht="15" customHeight="1" x14ac:dyDescent="0.3">
      <c r="A14" s="223" t="s">
        <v>2012</v>
      </c>
      <c r="B14" s="203" t="s">
        <v>2013</v>
      </c>
      <c r="C14" s="203" t="s">
        <v>2014</v>
      </c>
      <c r="D14" s="203" t="s">
        <v>2015</v>
      </c>
      <c r="E14" s="203" t="s">
        <v>2016</v>
      </c>
      <c r="F14" s="204" t="s">
        <v>2017</v>
      </c>
      <c r="H14" s="251" t="s">
        <v>2644</v>
      </c>
      <c r="I14" s="251">
        <f>F11</f>
        <v>63</v>
      </c>
    </row>
    <row r="15" spans="1:10" ht="15" customHeight="1" thickBot="1" x14ac:dyDescent="0.35">
      <c r="A15" s="224">
        <f>COUNTIF('Assessment + Implementation'!P5:P77,"Not Started")</f>
        <v>1</v>
      </c>
      <c r="B15" s="230">
        <f>COUNTIF('Assessment + Implementation'!P5:P77,"Planning")</f>
        <v>2</v>
      </c>
      <c r="C15" s="226">
        <f>COUNTIF('Assessment + Implementation'!P5:P77,"In Progress")</f>
        <v>4</v>
      </c>
      <c r="D15" s="231">
        <f>COUNTIF('Assessment + Implementation'!P5:P77,"Testing")</f>
        <v>0</v>
      </c>
      <c r="E15" s="225">
        <f>COUNTIF('Assessment + Implementation'!P5:P77,"Implemented")</f>
        <v>1</v>
      </c>
      <c r="F15" s="232">
        <f>COUNTIF('Assessment + Implementation'!P5:P77,"Verified")</f>
        <v>1</v>
      </c>
    </row>
    <row r="18" spans="1:6" ht="15" customHeight="1" thickBot="1" x14ac:dyDescent="0.35">
      <c r="A18" s="200" t="s">
        <v>2581</v>
      </c>
      <c r="B18" s="200"/>
      <c r="C18" s="200"/>
      <c r="D18" s="200"/>
      <c r="E18" s="200"/>
      <c r="F18" s="200"/>
    </row>
    <row r="19" spans="1:6" ht="25.5" customHeight="1" x14ac:dyDescent="0.3">
      <c r="A19" s="233" t="s">
        <v>2018</v>
      </c>
      <c r="B19" s="234" t="s">
        <v>2019</v>
      </c>
      <c r="C19" s="235" t="s">
        <v>2020</v>
      </c>
      <c r="D19" s="236" t="s">
        <v>2021</v>
      </c>
      <c r="E19" s="252" t="s">
        <v>2582</v>
      </c>
      <c r="F19" s="253"/>
    </row>
    <row r="20" spans="1:6" ht="25.5" customHeight="1" thickBot="1" x14ac:dyDescent="0.35">
      <c r="A20" s="237">
        <f>COUNTIF('Assessment + Implementation'!D5:D77,"Critical")</f>
        <v>7</v>
      </c>
      <c r="B20" s="238">
        <f>COUNTIF('Assessment + Implementation'!D5:D77,"High")</f>
        <v>22</v>
      </c>
      <c r="C20" s="239">
        <f>COUNTIF('Assessment + Implementation'!D5:D77,"Medium")</f>
        <v>20</v>
      </c>
      <c r="D20" s="240">
        <f>COUNTIF('Assessment + Implementation'!D5:D77,"Low")</f>
        <v>24</v>
      </c>
      <c r="E20" s="241">
        <f>COUNTIF('Assessment + Implementation'!O5:O77,"Critical")+COUNTIF('Assessment + Implementation'!O5:O77,"High")</f>
        <v>6</v>
      </c>
      <c r="F20" s="79"/>
    </row>
    <row r="21" spans="1:6" ht="25.5" customHeight="1" x14ac:dyDescent="0.3"/>
    <row r="22" spans="1:6" ht="25.5" customHeight="1" x14ac:dyDescent="0.3"/>
    <row r="23" spans="1:6" ht="25.5" customHeight="1" thickBot="1" x14ac:dyDescent="0.35">
      <c r="A23" s="201" t="s">
        <v>2583</v>
      </c>
      <c r="B23" s="201"/>
      <c r="C23" s="201"/>
      <c r="D23" s="201"/>
      <c r="E23" s="201"/>
      <c r="F23" s="201"/>
    </row>
    <row r="24" spans="1:6" x14ac:dyDescent="0.3">
      <c r="A24" s="202" t="s">
        <v>2073</v>
      </c>
      <c r="B24" s="203" t="s">
        <v>2402</v>
      </c>
      <c r="C24" s="203" t="s">
        <v>2401</v>
      </c>
      <c r="D24" s="203" t="s">
        <v>2008</v>
      </c>
      <c r="E24" s="203" t="s">
        <v>2010</v>
      </c>
      <c r="F24" s="204" t="s">
        <v>2403</v>
      </c>
    </row>
    <row r="25" spans="1:6" x14ac:dyDescent="0.3">
      <c r="A25" s="205" t="s">
        <v>292</v>
      </c>
      <c r="B25" s="206">
        <f>COUNTIF('Assessment + Implementation'!C5:C77,"Consent &amp; Notice")</f>
        <v>5</v>
      </c>
      <c r="C25" s="207">
        <f>IFERROR(AVERAGEIF('Assessment + Implementation'!C5:C77,"Consent &amp; Notice",'Assessment + Implementation'!L5:L77),0)</f>
        <v>1.5</v>
      </c>
      <c r="D25" s="208">
        <f>COUNTIFS('Assessment + Implementation'!C5:C77,"Consent &amp; Notice",'Assessment + Implementation'!K5:K77,"Compliant")</f>
        <v>0</v>
      </c>
      <c r="E25" s="209">
        <f>COUNTIFS('Assessment + Implementation'!C5:C77,"Consent &amp; Notice",'Assessment + Implementation'!K5:K77,"Non-Compliant")</f>
        <v>1</v>
      </c>
      <c r="F25" s="210">
        <f>COUNTIFS('Assessment + Implementation'!C5:C77,"Consent &amp; Notice",'Assessment + Implementation'!V5:V77,"Validated")+COUNTIFS('Assessment + Implementation'!C5:C77,"Consent &amp; Notice",'Assessment + Implementation'!V5:V77,"Audit-Ready")</f>
        <v>0</v>
      </c>
    </row>
    <row r="26" spans="1:6" x14ac:dyDescent="0.3">
      <c r="A26" s="211" t="s">
        <v>337</v>
      </c>
      <c r="B26" s="212">
        <f>COUNTIF('Assessment + Implementation'!C5:C77,"Security Safeguards")</f>
        <v>7</v>
      </c>
      <c r="C26" s="213">
        <f>IFERROR(AVERAGEIF('Assessment + Implementation'!C5:C77,"Security Safeguards",'Assessment + Implementation'!L5:L77),0)</f>
        <v>2</v>
      </c>
      <c r="D26" s="214">
        <f>COUNTIFS('Assessment + Implementation'!C5:C77,"Security Safeguards",'Assessment + Implementation'!K5:K77,"Compliant")</f>
        <v>0</v>
      </c>
      <c r="E26" s="215">
        <f>COUNTIFS('Assessment + Implementation'!C5:C77,"Security Safeguards",'Assessment + Implementation'!K5:K77,"Non-Compliant")</f>
        <v>0</v>
      </c>
      <c r="F26" s="216">
        <f>COUNTIFS('Assessment + Implementation'!C5:C77,"Security Safeguards",'Assessment + Implementation'!V5:V77,"Validated")+COUNTIFS('Assessment + Implementation'!C5:C77,"Security Safeguards",'Assessment + Implementation'!V5:V77,"Audit-Ready")</f>
        <v>0</v>
      </c>
    </row>
    <row r="27" spans="1:6" x14ac:dyDescent="0.3">
      <c r="A27" s="205" t="s">
        <v>357</v>
      </c>
      <c r="B27" s="206">
        <f>COUNTIF('Assessment + Implementation'!C5:C77,"Breach Notification")</f>
        <v>7</v>
      </c>
      <c r="C27" s="207">
        <f>IFERROR(AVERAGEIF('Assessment + Implementation'!C5:C77,"Breach Notification",'Assessment + Implementation'!L5:L77),0)</f>
        <v>0</v>
      </c>
      <c r="D27" s="208">
        <f>COUNTIFS('Assessment + Implementation'!C5:C77,"Breach Notification",'Assessment + Implementation'!K5:K77,"Compliant")</f>
        <v>0</v>
      </c>
      <c r="E27" s="209">
        <f>COUNTIFS('Assessment + Implementation'!C5:C77,"Breach Notification",'Assessment + Implementation'!K5:K77,"Non-Compliant")</f>
        <v>1</v>
      </c>
      <c r="F27" s="210">
        <f>COUNTIFS('Assessment + Implementation'!C5:C77,"Breach Notification",'Assessment + Implementation'!V5:V77,"Validated")+COUNTIFS('Assessment + Implementation'!C5:C77,"Breach Notification",'Assessment + Implementation'!V5:V77,"Audit-Ready")</f>
        <v>0</v>
      </c>
    </row>
    <row r="28" spans="1:6" x14ac:dyDescent="0.3">
      <c r="A28" s="211" t="s">
        <v>437</v>
      </c>
      <c r="B28" s="212">
        <f>COUNTIF('Assessment + Implementation'!C5:C77,"Data Principal Rights")</f>
        <v>8</v>
      </c>
      <c r="C28" s="213">
        <f>IFERROR(AVERAGEIF('Assessment + Implementation'!C5:C77,"Data Principal Rights",'Assessment + Implementation'!L5:L77),0)</f>
        <v>2</v>
      </c>
      <c r="D28" s="214">
        <f>COUNTIFS('Assessment + Implementation'!C5:C77,"Data Principal Rights",'Assessment + Implementation'!K5:K77,"Compliant")</f>
        <v>0</v>
      </c>
      <c r="E28" s="215">
        <f>COUNTIFS('Assessment + Implementation'!C5:C77,"Data Principal Rights",'Assessment + Implementation'!K5:K77,"Non-Compliant")</f>
        <v>0</v>
      </c>
      <c r="F28" s="216">
        <f>COUNTIFS('Assessment + Implementation'!C5:C77,"Data Principal Rights",'Assessment + Implementation'!V5:V77,"Validated")+COUNTIFS('Assessment + Implementation'!C5:C77,"Data Principal Rights",'Assessment + Implementation'!V5:V77,"Audit-Ready")</f>
        <v>0</v>
      </c>
    </row>
    <row r="29" spans="1:6" x14ac:dyDescent="0.3">
      <c r="A29" s="205" t="s">
        <v>316</v>
      </c>
      <c r="B29" s="206">
        <f>COUNTIF('Assessment + Implementation'!C5:C77,"Consent Manager")</f>
        <v>6</v>
      </c>
      <c r="C29" s="207">
        <f>IFERROR(AVERAGEIF('Assessment + Implementation'!C5:C77,"Consent Manager",'Assessment + Implementation'!L5:L77),0)</f>
        <v>0</v>
      </c>
      <c r="D29" s="208">
        <f>COUNTIFS('Assessment + Implementation'!C5:C77,"Consent Manager",'Assessment + Implementation'!K5:K77,"Compliant")</f>
        <v>0</v>
      </c>
      <c r="E29" s="209">
        <f>COUNTIFS('Assessment + Implementation'!C5:C77,"Consent Manager",'Assessment + Implementation'!K5:K77,"Non-Compliant")</f>
        <v>0</v>
      </c>
      <c r="F29" s="210">
        <f>COUNTIFS('Assessment + Implementation'!C5:C77,"Consent Manager",'Assessment + Implementation'!V5:V77,"Validated")+COUNTIFS('Assessment + Implementation'!C5:C77,"Consent Manager",'Assessment + Implementation'!V5:V77,"Audit-Ready")</f>
        <v>0</v>
      </c>
    </row>
    <row r="30" spans="1:6" x14ac:dyDescent="0.3">
      <c r="A30" s="211" t="s">
        <v>380</v>
      </c>
      <c r="B30" s="212">
        <f>COUNTIF('Assessment + Implementation'!C5:C77,"Retention &amp; Erasure")</f>
        <v>5</v>
      </c>
      <c r="C30" s="213">
        <f>IFERROR(AVERAGEIF('Assessment + Implementation'!C5:C77,"Retention &amp; Erasure",'Assessment + Implementation'!L5:L77),0)</f>
        <v>3</v>
      </c>
      <c r="D30" s="214">
        <f>COUNTIFS('Assessment + Implementation'!C5:C77,"Retention &amp; Erasure",'Assessment + Implementation'!K5:K77,"Compliant")</f>
        <v>1</v>
      </c>
      <c r="E30" s="215">
        <f>COUNTIFS('Assessment + Implementation'!C5:C77,"Retention &amp; Erasure",'Assessment + Implementation'!K5:K77,"Non-Compliant")</f>
        <v>0</v>
      </c>
      <c r="F30" s="216">
        <f>COUNTIFS('Assessment + Implementation'!C5:C77,"Retention &amp; Erasure",'Assessment + Implementation'!V5:V77,"Validated")+COUNTIFS('Assessment + Implementation'!C5:C77,"Retention &amp; Erasure",'Assessment + Implementation'!V5:V77,"Audit-Ready")</f>
        <v>1</v>
      </c>
    </row>
    <row r="31" spans="1:6" x14ac:dyDescent="0.3">
      <c r="A31" s="205" t="s">
        <v>2464</v>
      </c>
      <c r="B31" s="206">
        <f>COUNTIF('Assessment + Implementation'!C5:C77,"Children &amp; Exemptions")</f>
        <v>16</v>
      </c>
      <c r="C31" s="207">
        <f>IFERROR(AVERAGEIF('Assessment + Implementation'!C5:C77,"Children &amp; Exemptions",'Assessment + Implementation'!L5:L77),0)</f>
        <v>0</v>
      </c>
      <c r="D31" s="208">
        <f>COUNTIFS('Assessment + Implementation'!C5:C77,"Children &amp; Exemptions",'Assessment + Implementation'!K5:K77,"Compliant")</f>
        <v>0</v>
      </c>
      <c r="E31" s="209">
        <f>COUNTIFS('Assessment + Implementation'!C5:C77,"Children &amp; Exemptions",'Assessment + Implementation'!K5:K77,"Non-Compliant")</f>
        <v>1</v>
      </c>
      <c r="F31" s="210">
        <f>COUNTIFS('Assessment + Implementation'!C5:C77,"Children &amp; Exemptions",'Assessment + Implementation'!V5:V77,"Validated")+COUNTIFS('Assessment + Implementation'!C5:C77,"Children &amp; Exemptions",'Assessment + Implementation'!V5:V77,"Audit-Ready")</f>
        <v>0</v>
      </c>
    </row>
    <row r="32" spans="1:6" x14ac:dyDescent="0.3">
      <c r="A32" s="211" t="s">
        <v>414</v>
      </c>
      <c r="B32" s="212">
        <f>COUNTIF('Assessment + Implementation'!C5:C77,"SDF Obligations")</f>
        <v>7</v>
      </c>
      <c r="C32" s="213">
        <f>IFERROR(AVERAGEIF('Assessment + Implementation'!C5:C77,"SDF Obligations",'Assessment + Implementation'!L5:L77),0)</f>
        <v>0</v>
      </c>
      <c r="D32" s="214">
        <f>COUNTIFS('Assessment + Implementation'!C5:C77,"SDF Obligations",'Assessment + Implementation'!K5:K77,"Compliant")</f>
        <v>0</v>
      </c>
      <c r="E32" s="215">
        <f>COUNTIFS('Assessment + Implementation'!C5:C77,"SDF Obligations",'Assessment + Implementation'!K5:K77,"Non-Compliant")</f>
        <v>0</v>
      </c>
      <c r="F32" s="216">
        <f>COUNTIFS('Assessment + Implementation'!C5:C77,"SDF Obligations",'Assessment + Implementation'!V5:V77,"Validated")+COUNTIFS('Assessment + Implementation'!C5:C77,"SDF Obligations",'Assessment + Implementation'!V5:V77,"Audit-Ready")</f>
        <v>0</v>
      </c>
    </row>
    <row r="33" spans="1:6" x14ac:dyDescent="0.3">
      <c r="A33" s="205" t="s">
        <v>464</v>
      </c>
      <c r="B33" s="206">
        <f>COUNTIF('Assessment + Implementation'!C5:C77,"Cross-Border Transfer")</f>
        <v>2</v>
      </c>
      <c r="C33" s="207">
        <f>IFERROR(AVERAGEIF('Assessment + Implementation'!C5:C77,"Cross-Border Transfer",'Assessment + Implementation'!L5:L77),0)</f>
        <v>1</v>
      </c>
      <c r="D33" s="208">
        <f>COUNTIFS('Assessment + Implementation'!C5:C77,"Cross-Border Transfer",'Assessment + Implementation'!K5:K77,"Compliant")</f>
        <v>0</v>
      </c>
      <c r="E33" s="209">
        <f>COUNTIFS('Assessment + Implementation'!C5:C77,"Cross-Border Transfer",'Assessment + Implementation'!K5:K77,"Non-Compliant")</f>
        <v>0</v>
      </c>
      <c r="F33" s="210">
        <f>COUNTIFS('Assessment + Implementation'!C5:C77,"Cross-Border Transfer",'Assessment + Implementation'!V5:V77,"Validated")+COUNTIFS('Assessment + Implementation'!C5:C77,"Cross-Border Transfer",'Assessment + Implementation'!V5:V77,"Audit-Ready")</f>
        <v>0</v>
      </c>
    </row>
    <row r="34" spans="1:6" x14ac:dyDescent="0.3">
      <c r="A34" s="211" t="s">
        <v>472</v>
      </c>
      <c r="B34" s="212">
        <f>COUNTIF('Assessment + Implementation'!C5:C77,"Research &amp; Archiving")</f>
        <v>7</v>
      </c>
      <c r="C34" s="213">
        <f>IFERROR(AVERAGEIF('Assessment + Implementation'!C5:C77,"Research &amp; Archiving",'Assessment + Implementation'!L5:L77),0)</f>
        <v>0</v>
      </c>
      <c r="D34" s="214">
        <f>COUNTIFS('Assessment + Implementation'!C5:C77,"Research &amp; Archiving",'Assessment + Implementation'!K5:K77,"Compliant")</f>
        <v>0</v>
      </c>
      <c r="E34" s="215">
        <f>COUNTIFS('Assessment + Implementation'!C5:C77,"Research &amp; Archiving",'Assessment + Implementation'!K5:K77,"Non-Compliant")</f>
        <v>0</v>
      </c>
      <c r="F34" s="216">
        <f>COUNTIFS('Assessment + Implementation'!C5:C77,"Research &amp; Archiving",'Assessment + Implementation'!V5:V77,"Validated")+COUNTIFS('Assessment + Implementation'!C5:C77,"Research &amp; Archiving",'Assessment + Implementation'!V5:V77,"Audit-Ready")</f>
        <v>0</v>
      </c>
    </row>
    <row r="35" spans="1:6" x14ac:dyDescent="0.3">
      <c r="A35" s="205" t="s">
        <v>488</v>
      </c>
      <c r="B35" s="206">
        <f>COUNTIF('Assessment + Implementation'!C5:C77,"Contact &amp; Publication")</f>
        <v>2</v>
      </c>
      <c r="C35" s="207">
        <f>IFERROR(AVERAGEIF('Assessment + Implementation'!C5:C77,"Contact &amp; Publication",'Assessment + Implementation'!L5:L77),0)</f>
        <v>4</v>
      </c>
      <c r="D35" s="208">
        <f>COUNTIFS('Assessment + Implementation'!C5:C77,"Contact &amp; Publication",'Assessment + Implementation'!K5:K77,"Compliant")</f>
        <v>1</v>
      </c>
      <c r="E35" s="209">
        <f>COUNTIFS('Assessment + Implementation'!C5:C77,"Contact &amp; Publication",'Assessment + Implementation'!K5:K77,"Non-Compliant")</f>
        <v>0</v>
      </c>
      <c r="F35" s="210">
        <f>COUNTIFS('Assessment + Implementation'!C5:C77,"Contact &amp; Publication",'Assessment + Implementation'!V5:V77,"Validated")+COUNTIFS('Assessment + Implementation'!C5:C77,"Contact &amp; Publication",'Assessment + Implementation'!V5:V77,"Audit-Ready")</f>
        <v>1</v>
      </c>
    </row>
    <row r="36" spans="1:6" ht="15" thickBot="1" x14ac:dyDescent="0.35">
      <c r="A36" s="217" t="s">
        <v>483</v>
      </c>
      <c r="B36" s="218">
        <f>COUNTIF('Assessment + Implementation'!C5:C77,"Govt. Information Requests")</f>
        <v>1</v>
      </c>
      <c r="C36" s="219">
        <f>IFERROR(AVERAGEIF('Assessment + Implementation'!C5:C77,"Govt. Information Requests",'Assessment + Implementation'!L5:L77),0)</f>
        <v>0</v>
      </c>
      <c r="D36" s="220">
        <f>COUNTIFS('Assessment + Implementation'!C5:C77,"Govt. Information Requests",'Assessment + Implementation'!K5:K77,"Compliant")</f>
        <v>0</v>
      </c>
      <c r="E36" s="221">
        <f>COUNTIFS('Assessment + Implementation'!C5:C77,"Govt. Information Requests",'Assessment + Implementation'!K5:K77,"Non-Compliant")</f>
        <v>0</v>
      </c>
      <c r="F36" s="222">
        <f>COUNTIFS('Assessment + Implementation'!C5:C77,"Govt. Information Requests",'Assessment + Implementation'!V5:V77,"Validated")+COUNTIFS('Assessment + Implementation'!C5:C77,"Govt. Information Requests",'Assessment + Implementation'!V5:V77,"Audit-Ready")</f>
        <v>0</v>
      </c>
    </row>
    <row r="79" spans="1:10" x14ac:dyDescent="0.3">
      <c r="A79" s="101"/>
      <c r="B79" s="101"/>
      <c r="C79" s="101"/>
      <c r="D79" s="101"/>
      <c r="E79" s="101"/>
      <c r="F79" s="101"/>
      <c r="G79" s="101"/>
      <c r="H79" s="101"/>
      <c r="I79" s="101"/>
      <c r="J79" s="101"/>
    </row>
  </sheetData>
  <mergeCells count="23">
    <mergeCell ref="A9:F9"/>
    <mergeCell ref="A18:F18"/>
    <mergeCell ref="A23:F23"/>
    <mergeCell ref="A79:J79"/>
    <mergeCell ref="E19:F19"/>
    <mergeCell ref="I5:J5"/>
    <mergeCell ref="A6:B6"/>
    <mergeCell ref="C6:D6"/>
    <mergeCell ref="E6:F6"/>
    <mergeCell ref="G6:H6"/>
    <mergeCell ref="I6:J6"/>
    <mergeCell ref="A13:F13"/>
    <mergeCell ref="A1:J1"/>
    <mergeCell ref="A2:J2"/>
    <mergeCell ref="A4:B4"/>
    <mergeCell ref="C4:D4"/>
    <mergeCell ref="E4:F4"/>
    <mergeCell ref="G4:H4"/>
    <mergeCell ref="I4:J4"/>
    <mergeCell ref="A5:B5"/>
    <mergeCell ref="C5:D5"/>
    <mergeCell ref="E5:F5"/>
    <mergeCell ref="G5:H5"/>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39C12"/>
  </sheetPr>
  <dimension ref="A1:C80"/>
  <sheetViews>
    <sheetView zoomScaleNormal="100" workbookViewId="0">
      <pane xSplit="1" ySplit="2" topLeftCell="B3" activePane="bottomRight" state="frozen"/>
      <selection pane="topRight" activeCell="B1" sqref="B1"/>
      <selection pane="bottomLeft" activeCell="A3" sqref="A3"/>
      <selection pane="bottomRight" activeCell="B1" sqref="B1:C1"/>
    </sheetView>
  </sheetViews>
  <sheetFormatPr defaultColWidth="8.6640625" defaultRowHeight="14.4" x14ac:dyDescent="0.3"/>
  <cols>
    <col min="1" max="1" width="3" customWidth="1"/>
    <col min="2" max="2" width="25" customWidth="1"/>
    <col min="3" max="3" width="80" customWidth="1"/>
  </cols>
  <sheetData>
    <row r="1" spans="2:3" ht="36" customHeight="1" x14ac:dyDescent="0.4">
      <c r="B1" s="61" t="s">
        <v>2023</v>
      </c>
      <c r="C1" s="61"/>
    </row>
    <row r="3" spans="2:3" ht="24" customHeight="1" x14ac:dyDescent="0.3">
      <c r="B3" s="62" t="s">
        <v>2024</v>
      </c>
      <c r="C3" s="62"/>
    </row>
    <row r="4" spans="2:3" ht="39.75" customHeight="1" x14ac:dyDescent="0.3">
      <c r="B4" s="49" t="s">
        <v>2025</v>
      </c>
      <c r="C4" s="43" t="s">
        <v>2026</v>
      </c>
    </row>
    <row r="5" spans="2:3" ht="67.8" customHeight="1" x14ac:dyDescent="0.3">
      <c r="B5" s="50" t="s">
        <v>2027</v>
      </c>
      <c r="C5" s="44" t="s">
        <v>2028</v>
      </c>
    </row>
    <row r="6" spans="2:3" ht="95.4" customHeight="1" x14ac:dyDescent="0.3">
      <c r="B6" s="49" t="s">
        <v>2029</v>
      </c>
      <c r="C6" s="43" t="s">
        <v>2589</v>
      </c>
    </row>
    <row r="7" spans="2:3" ht="58.2" customHeight="1" x14ac:dyDescent="0.3">
      <c r="B7" s="50" t="s">
        <v>2030</v>
      </c>
      <c r="C7" s="44" t="s">
        <v>2031</v>
      </c>
    </row>
    <row r="9" spans="2:3" ht="24" customHeight="1" x14ac:dyDescent="0.3">
      <c r="B9" s="62" t="s">
        <v>2032</v>
      </c>
      <c r="C9" s="62"/>
    </row>
    <row r="10" spans="2:3" ht="39.75" customHeight="1" x14ac:dyDescent="0.3">
      <c r="B10" s="49" t="s">
        <v>2033</v>
      </c>
      <c r="C10" s="43" t="s">
        <v>2034</v>
      </c>
    </row>
    <row r="11" spans="2:3" ht="39.75" customHeight="1" x14ac:dyDescent="0.3">
      <c r="B11" s="50" t="s">
        <v>2035</v>
      </c>
      <c r="C11" s="44" t="s">
        <v>2036</v>
      </c>
    </row>
    <row r="12" spans="2:3" ht="39.75" customHeight="1" x14ac:dyDescent="0.3">
      <c r="B12" s="49" t="s">
        <v>2037</v>
      </c>
      <c r="C12" s="43" t="s">
        <v>2038</v>
      </c>
    </row>
    <row r="13" spans="2:3" ht="39.75" customHeight="1" x14ac:dyDescent="0.3">
      <c r="B13" s="50" t="s">
        <v>2039</v>
      </c>
      <c r="C13" s="44" t="s">
        <v>2040</v>
      </c>
    </row>
    <row r="14" spans="2:3" ht="39.75" customHeight="1" x14ac:dyDescent="0.3">
      <c r="B14" s="49" t="s">
        <v>2041</v>
      </c>
      <c r="C14" s="43" t="s">
        <v>2042</v>
      </c>
    </row>
    <row r="16" spans="2:3" ht="24" customHeight="1" x14ac:dyDescent="0.3">
      <c r="B16" s="62" t="s">
        <v>2043</v>
      </c>
      <c r="C16" s="62"/>
    </row>
    <row r="17" spans="2:3" ht="39.75" customHeight="1" x14ac:dyDescent="0.3">
      <c r="B17" s="50" t="s">
        <v>2012</v>
      </c>
      <c r="C17" s="44" t="s">
        <v>2044</v>
      </c>
    </row>
    <row r="18" spans="2:3" ht="39.75" customHeight="1" x14ac:dyDescent="0.3">
      <c r="B18" s="49" t="s">
        <v>2013</v>
      </c>
      <c r="C18" s="43" t="s">
        <v>2045</v>
      </c>
    </row>
    <row r="19" spans="2:3" ht="39.75" customHeight="1" x14ac:dyDescent="0.3">
      <c r="B19" s="50" t="s">
        <v>2014</v>
      </c>
      <c r="C19" s="44" t="s">
        <v>2046</v>
      </c>
    </row>
    <row r="20" spans="2:3" ht="39.75" customHeight="1" x14ac:dyDescent="0.3">
      <c r="B20" s="49" t="s">
        <v>2015</v>
      </c>
      <c r="C20" s="43" t="s">
        <v>2047</v>
      </c>
    </row>
    <row r="21" spans="2:3" ht="39.75" customHeight="1" x14ac:dyDescent="0.3">
      <c r="B21" s="50" t="s">
        <v>2016</v>
      </c>
      <c r="C21" s="44" t="s">
        <v>2048</v>
      </c>
    </row>
    <row r="22" spans="2:3" ht="39.75" customHeight="1" x14ac:dyDescent="0.3">
      <c r="B22" s="49" t="s">
        <v>2017</v>
      </c>
      <c r="C22" s="43" t="s">
        <v>2049</v>
      </c>
    </row>
    <row r="24" spans="2:3" ht="24" customHeight="1" x14ac:dyDescent="0.3">
      <c r="B24" s="62" t="s">
        <v>2050</v>
      </c>
      <c r="C24" s="62"/>
    </row>
    <row r="25" spans="2:3" ht="39.75" customHeight="1" x14ac:dyDescent="0.3">
      <c r="B25" s="50" t="s">
        <v>2051</v>
      </c>
      <c r="C25" s="44" t="s">
        <v>2052</v>
      </c>
    </row>
    <row r="26" spans="2:3" ht="39.75" customHeight="1" x14ac:dyDescent="0.3">
      <c r="B26" s="49" t="s">
        <v>2053</v>
      </c>
      <c r="C26" s="43" t="s">
        <v>2054</v>
      </c>
    </row>
    <row r="27" spans="2:3" ht="39.75" customHeight="1" x14ac:dyDescent="0.3">
      <c r="B27" s="50" t="s">
        <v>2055</v>
      </c>
      <c r="C27" s="44" t="s">
        <v>2056</v>
      </c>
    </row>
    <row r="28" spans="2:3" ht="39.75" customHeight="1" x14ac:dyDescent="0.3">
      <c r="B28" s="49" t="s">
        <v>2057</v>
      </c>
      <c r="C28" s="43" t="s">
        <v>2058</v>
      </c>
    </row>
    <row r="30" spans="2:3" ht="24" customHeight="1" x14ac:dyDescent="0.3">
      <c r="B30" s="62" t="s">
        <v>2059</v>
      </c>
      <c r="C30" s="62"/>
    </row>
    <row r="31" spans="2:3" ht="39.75" customHeight="1" x14ac:dyDescent="0.3">
      <c r="B31" s="50" t="s">
        <v>2060</v>
      </c>
      <c r="C31" s="44" t="s">
        <v>2061</v>
      </c>
    </row>
    <row r="32" spans="2:3" ht="39.75" customHeight="1" x14ac:dyDescent="0.3">
      <c r="B32" s="49" t="s">
        <v>2062</v>
      </c>
      <c r="C32" s="43" t="s">
        <v>2063</v>
      </c>
    </row>
    <row r="33" spans="1:3" ht="39.75" customHeight="1" x14ac:dyDescent="0.3">
      <c r="B33" s="50" t="s">
        <v>286</v>
      </c>
      <c r="C33" s="44" t="s">
        <v>2064</v>
      </c>
    </row>
    <row r="34" spans="1:3" ht="39.75" customHeight="1" x14ac:dyDescent="0.3">
      <c r="B34" s="49" t="s">
        <v>287</v>
      </c>
      <c r="C34" s="43" t="s">
        <v>2065</v>
      </c>
    </row>
    <row r="36" spans="1:3" ht="24" customHeight="1" x14ac:dyDescent="0.3">
      <c r="B36" s="62" t="s">
        <v>2066</v>
      </c>
      <c r="C36" s="62"/>
    </row>
    <row r="37" spans="1:3" ht="39.75" customHeight="1" x14ac:dyDescent="0.3">
      <c r="B37" s="50" t="s">
        <v>2018</v>
      </c>
      <c r="C37" s="44" t="s">
        <v>2067</v>
      </c>
    </row>
    <row r="38" spans="1:3" ht="39.75" customHeight="1" x14ac:dyDescent="0.3">
      <c r="B38" s="49" t="s">
        <v>2019</v>
      </c>
      <c r="C38" s="43" t="s">
        <v>2068</v>
      </c>
    </row>
    <row r="39" spans="1:3" ht="39.75" customHeight="1" x14ac:dyDescent="0.3">
      <c r="B39" s="50" t="s">
        <v>2020</v>
      </c>
      <c r="C39" s="44" t="s">
        <v>2069</v>
      </c>
    </row>
    <row r="40" spans="1:3" ht="39.75" customHeight="1" x14ac:dyDescent="0.3">
      <c r="B40" s="49" t="s">
        <v>2021</v>
      </c>
      <c r="C40" s="43" t="s">
        <v>2070</v>
      </c>
    </row>
    <row r="41" spans="1:3" ht="39.75" customHeight="1" x14ac:dyDescent="0.3">
      <c r="B41" s="254"/>
      <c r="C41" s="255"/>
    </row>
    <row r="42" spans="1:3" ht="39.75" customHeight="1" x14ac:dyDescent="0.3">
      <c r="A42" s="263"/>
      <c r="B42" s="258" t="s">
        <v>2649</v>
      </c>
      <c r="C42" s="259" t="s">
        <v>2710</v>
      </c>
    </row>
    <row r="43" spans="1:3" ht="45.6" x14ac:dyDescent="0.3">
      <c r="A43" s="263"/>
      <c r="B43" s="256" t="s">
        <v>2650</v>
      </c>
      <c r="C43" s="260" t="s">
        <v>2651</v>
      </c>
    </row>
    <row r="44" spans="1:3" ht="39.75" customHeight="1" x14ac:dyDescent="0.3">
      <c r="A44" s="263"/>
      <c r="B44" s="257" t="s">
        <v>2652</v>
      </c>
      <c r="C44" s="261" t="s">
        <v>2653</v>
      </c>
    </row>
    <row r="45" spans="1:3" ht="39.75" customHeight="1" x14ac:dyDescent="0.3">
      <c r="A45" s="263"/>
      <c r="B45" s="256" t="s">
        <v>2654</v>
      </c>
      <c r="C45" s="262" t="s">
        <v>2655</v>
      </c>
    </row>
    <row r="46" spans="1:3" ht="39.75" customHeight="1" x14ac:dyDescent="0.3">
      <c r="A46" s="263"/>
      <c r="B46" s="257" t="s">
        <v>2656</v>
      </c>
      <c r="C46" s="261" t="s">
        <v>2657</v>
      </c>
    </row>
    <row r="47" spans="1:3" ht="39.75" customHeight="1" x14ac:dyDescent="0.3">
      <c r="A47" s="263"/>
      <c r="B47" s="256" t="s">
        <v>2658</v>
      </c>
      <c r="C47" s="262" t="s">
        <v>2659</v>
      </c>
    </row>
    <row r="48" spans="1:3" ht="39.75" customHeight="1" x14ac:dyDescent="0.3">
      <c r="A48" s="263"/>
      <c r="B48" s="257" t="s">
        <v>2660</v>
      </c>
      <c r="C48" s="261" t="s">
        <v>2661</v>
      </c>
    </row>
    <row r="49" spans="1:3" ht="39.75" customHeight="1" x14ac:dyDescent="0.3">
      <c r="A49" s="263"/>
      <c r="B49" s="256" t="s">
        <v>2662</v>
      </c>
      <c r="C49" s="262" t="s">
        <v>2663</v>
      </c>
    </row>
    <row r="50" spans="1:3" ht="39.75" customHeight="1" x14ac:dyDescent="0.3">
      <c r="A50" s="263"/>
      <c r="B50" s="257" t="s">
        <v>2664</v>
      </c>
      <c r="C50" s="261" t="s">
        <v>2665</v>
      </c>
    </row>
    <row r="51" spans="1:3" ht="39.75" customHeight="1" x14ac:dyDescent="0.3">
      <c r="A51" s="263"/>
      <c r="B51" s="256" t="s">
        <v>2666</v>
      </c>
      <c r="C51" s="262" t="s">
        <v>2667</v>
      </c>
    </row>
    <row r="52" spans="1:3" ht="39.75" customHeight="1" x14ac:dyDescent="0.3">
      <c r="A52" s="263"/>
      <c r="B52" s="257" t="s">
        <v>2668</v>
      </c>
      <c r="C52" s="261" t="s">
        <v>2669</v>
      </c>
    </row>
    <row r="53" spans="1:3" ht="39.75" customHeight="1" x14ac:dyDescent="0.3">
      <c r="A53" s="263"/>
      <c r="B53" s="256" t="s">
        <v>2670</v>
      </c>
      <c r="C53" s="262" t="s">
        <v>2671</v>
      </c>
    </row>
    <row r="54" spans="1:3" ht="39.75" customHeight="1" x14ac:dyDescent="0.3">
      <c r="A54" s="263"/>
      <c r="B54" s="257" t="s">
        <v>2672</v>
      </c>
      <c r="C54" s="261" t="s">
        <v>2673</v>
      </c>
    </row>
    <row r="55" spans="1:3" ht="39.75" customHeight="1" x14ac:dyDescent="0.3">
      <c r="A55" s="263"/>
      <c r="B55" s="256" t="s">
        <v>2674</v>
      </c>
      <c r="C55" s="262" t="s">
        <v>2675</v>
      </c>
    </row>
    <row r="56" spans="1:3" ht="39.75" customHeight="1" x14ac:dyDescent="0.3">
      <c r="A56" s="263"/>
      <c r="B56" s="257" t="s">
        <v>2676</v>
      </c>
      <c r="C56" s="261" t="s">
        <v>2677</v>
      </c>
    </row>
    <row r="57" spans="1:3" ht="39.75" customHeight="1" x14ac:dyDescent="0.3">
      <c r="A57" s="263"/>
      <c r="B57" s="256" t="s">
        <v>2678</v>
      </c>
      <c r="C57" s="262" t="s">
        <v>2679</v>
      </c>
    </row>
    <row r="58" spans="1:3" ht="39.75" customHeight="1" x14ac:dyDescent="0.3">
      <c r="A58" s="263"/>
      <c r="B58" s="257" t="s">
        <v>2680</v>
      </c>
      <c r="C58" s="261" t="s">
        <v>2681</v>
      </c>
    </row>
    <row r="59" spans="1:3" ht="39.75" customHeight="1" x14ac:dyDescent="0.3">
      <c r="A59" s="263"/>
      <c r="B59" s="256" t="s">
        <v>2682</v>
      </c>
      <c r="C59" s="262" t="s">
        <v>2683</v>
      </c>
    </row>
    <row r="60" spans="1:3" ht="39.75" customHeight="1" x14ac:dyDescent="0.3">
      <c r="A60" s="263"/>
      <c r="B60" s="257" t="s">
        <v>2684</v>
      </c>
      <c r="C60" s="261" t="s">
        <v>2685</v>
      </c>
    </row>
    <row r="61" spans="1:3" ht="39.75" customHeight="1" x14ac:dyDescent="0.3">
      <c r="A61" s="263"/>
      <c r="B61" s="256" t="s">
        <v>2686</v>
      </c>
      <c r="C61" s="262" t="s">
        <v>2687</v>
      </c>
    </row>
    <row r="62" spans="1:3" ht="39.75" customHeight="1" x14ac:dyDescent="0.3">
      <c r="A62" s="263"/>
      <c r="B62" s="256"/>
      <c r="C62" s="262"/>
    </row>
    <row r="63" spans="1:3" ht="39.75" customHeight="1" x14ac:dyDescent="0.3">
      <c r="A63" s="263"/>
      <c r="B63" s="258" t="s">
        <v>2688</v>
      </c>
      <c r="C63" s="259"/>
    </row>
    <row r="64" spans="1:3" ht="39.75" customHeight="1" x14ac:dyDescent="0.3">
      <c r="A64" s="263"/>
      <c r="B64" s="257" t="s">
        <v>2689</v>
      </c>
      <c r="C64" s="261" t="s">
        <v>2690</v>
      </c>
    </row>
    <row r="65" spans="1:3" ht="39.75" customHeight="1" x14ac:dyDescent="0.3">
      <c r="A65" s="263"/>
      <c r="B65" s="256" t="s">
        <v>2691</v>
      </c>
      <c r="C65" s="262" t="s">
        <v>2692</v>
      </c>
    </row>
    <row r="66" spans="1:3" ht="39.75" customHeight="1" x14ac:dyDescent="0.3">
      <c r="A66" s="263"/>
      <c r="B66" s="257" t="s">
        <v>2693</v>
      </c>
      <c r="C66" s="261" t="s">
        <v>2694</v>
      </c>
    </row>
    <row r="67" spans="1:3" ht="39.75" customHeight="1" x14ac:dyDescent="0.3">
      <c r="A67" s="263"/>
      <c r="B67" s="256" t="s">
        <v>2695</v>
      </c>
      <c r="C67" s="262" t="s">
        <v>2696</v>
      </c>
    </row>
    <row r="68" spans="1:3" ht="39.75" customHeight="1" x14ac:dyDescent="0.3">
      <c r="A68" s="263"/>
      <c r="B68" s="257" t="s">
        <v>2697</v>
      </c>
      <c r="C68" s="261" t="s">
        <v>2698</v>
      </c>
    </row>
    <row r="69" spans="1:3" ht="39.75" customHeight="1" x14ac:dyDescent="0.3">
      <c r="A69" s="263"/>
      <c r="B69" s="256"/>
      <c r="C69" s="262"/>
    </row>
    <row r="70" spans="1:3" ht="39.75" customHeight="1" x14ac:dyDescent="0.3">
      <c r="A70" s="263"/>
      <c r="B70" s="258" t="s">
        <v>2699</v>
      </c>
      <c r="C70" s="259"/>
    </row>
    <row r="71" spans="1:3" ht="39.75" customHeight="1" x14ac:dyDescent="0.3">
      <c r="A71" s="263"/>
      <c r="B71" s="257" t="s">
        <v>2700</v>
      </c>
      <c r="C71" s="261" t="s">
        <v>2701</v>
      </c>
    </row>
    <row r="72" spans="1:3" ht="39.75" customHeight="1" x14ac:dyDescent="0.3">
      <c r="A72" s="263"/>
      <c r="B72" s="256" t="s">
        <v>2702</v>
      </c>
      <c r="C72" s="262" t="s">
        <v>2703</v>
      </c>
    </row>
    <row r="73" spans="1:3" ht="39.75" customHeight="1" x14ac:dyDescent="0.3">
      <c r="A73" s="263"/>
      <c r="B73" s="257" t="s">
        <v>2704</v>
      </c>
      <c r="C73" s="261" t="s">
        <v>2705</v>
      </c>
    </row>
    <row r="74" spans="1:3" ht="39.75" customHeight="1" x14ac:dyDescent="0.3">
      <c r="B74" s="254"/>
      <c r="C74" s="255"/>
    </row>
    <row r="75" spans="1:3" ht="39.75" customHeight="1" x14ac:dyDescent="0.3">
      <c r="B75" s="254"/>
      <c r="C75" s="255"/>
    </row>
    <row r="76" spans="1:3" ht="39.75" customHeight="1" x14ac:dyDescent="0.3">
      <c r="B76" s="254"/>
      <c r="C76" s="255"/>
    </row>
    <row r="77" spans="1:3" ht="39.75" customHeight="1" x14ac:dyDescent="0.3">
      <c r="B77" s="254"/>
      <c r="C77" s="255"/>
    </row>
    <row r="78" spans="1:3" ht="39.75" customHeight="1" x14ac:dyDescent="0.3">
      <c r="B78" s="254"/>
      <c r="C78" s="255"/>
    </row>
    <row r="79" spans="1:3" ht="39.75" customHeight="1" x14ac:dyDescent="0.3">
      <c r="B79" s="254"/>
      <c r="C79" s="255"/>
    </row>
    <row r="80" spans="1:3" ht="39.75" customHeight="1" x14ac:dyDescent="0.3">
      <c r="B80" s="254"/>
      <c r="C80" s="255"/>
    </row>
  </sheetData>
  <mergeCells count="7">
    <mergeCell ref="B30:C30"/>
    <mergeCell ref="B36:C36"/>
    <mergeCell ref="B1:C1"/>
    <mergeCell ref="B3:C3"/>
    <mergeCell ref="B9:C9"/>
    <mergeCell ref="B16:C16"/>
    <mergeCell ref="B24:C2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70B09-3FB5-4EF9-BE04-800162F7B48E}">
  <sheetPr codeName="Sheet8"/>
  <dimension ref="A1:F8"/>
  <sheetViews>
    <sheetView workbookViewId="0">
      <selection activeCell="C2" sqref="C2"/>
    </sheetView>
  </sheetViews>
  <sheetFormatPr defaultRowHeight="14.4" x14ac:dyDescent="0.3"/>
  <cols>
    <col min="1" max="1" width="9.21875" customWidth="1"/>
    <col min="3" max="6" width="46.33203125" customWidth="1"/>
  </cols>
  <sheetData>
    <row r="1" spans="1:6" x14ac:dyDescent="0.3">
      <c r="A1" s="112" t="s">
        <v>2404</v>
      </c>
      <c r="B1" s="112" t="s">
        <v>2405</v>
      </c>
      <c r="C1" s="112" t="s">
        <v>2406</v>
      </c>
      <c r="D1" s="112" t="s">
        <v>2407</v>
      </c>
      <c r="E1" s="112" t="s">
        <v>2408</v>
      </c>
      <c r="F1" s="112" t="s">
        <v>2409</v>
      </c>
    </row>
    <row r="2" spans="1:6" x14ac:dyDescent="0.3">
      <c r="A2">
        <v>1</v>
      </c>
      <c r="B2" s="113">
        <v>46082</v>
      </c>
      <c r="C2" t="s">
        <v>2410</v>
      </c>
      <c r="D2" t="s">
        <v>2411</v>
      </c>
      <c r="E2" t="s">
        <v>2412</v>
      </c>
      <c r="F2" t="s">
        <v>2413</v>
      </c>
    </row>
    <row r="3" spans="1:6" x14ac:dyDescent="0.3">
      <c r="A3">
        <v>2</v>
      </c>
      <c r="B3" s="113">
        <v>46082</v>
      </c>
      <c r="C3" t="s">
        <v>2554</v>
      </c>
      <c r="D3" t="s">
        <v>2555</v>
      </c>
      <c r="E3" t="s">
        <v>2556</v>
      </c>
      <c r="F3" t="s">
        <v>2557</v>
      </c>
    </row>
    <row r="4" spans="1:6" x14ac:dyDescent="0.3">
      <c r="A4">
        <v>3</v>
      </c>
      <c r="B4" s="113">
        <v>46082</v>
      </c>
      <c r="C4" t="s">
        <v>2562</v>
      </c>
      <c r="D4" t="s">
        <v>2563</v>
      </c>
      <c r="E4" t="s">
        <v>2564</v>
      </c>
      <c r="F4" t="s">
        <v>2565</v>
      </c>
    </row>
    <row r="5" spans="1:6" x14ac:dyDescent="0.3">
      <c r="A5">
        <v>4</v>
      </c>
      <c r="B5" s="113">
        <v>46082</v>
      </c>
      <c r="C5" t="s">
        <v>2590</v>
      </c>
      <c r="D5" t="s">
        <v>2591</v>
      </c>
      <c r="E5" t="s">
        <v>2592</v>
      </c>
      <c r="F5" t="s">
        <v>2593</v>
      </c>
    </row>
    <row r="6" spans="1:6" x14ac:dyDescent="0.3">
      <c r="A6">
        <v>5</v>
      </c>
      <c r="B6" s="113">
        <v>46082</v>
      </c>
      <c r="C6" t="s">
        <v>2594</v>
      </c>
      <c r="D6" t="s">
        <v>2595</v>
      </c>
      <c r="E6" t="s">
        <v>2596</v>
      </c>
      <c r="F6" t="s">
        <v>2597</v>
      </c>
    </row>
    <row r="7" spans="1:6" x14ac:dyDescent="0.3">
      <c r="A7">
        <v>6</v>
      </c>
      <c r="B7" s="113">
        <v>46082</v>
      </c>
      <c r="C7" t="s">
        <v>2645</v>
      </c>
      <c r="D7" t="s">
        <v>2646</v>
      </c>
      <c r="E7" t="s">
        <v>2647</v>
      </c>
      <c r="F7" t="s">
        <v>2648</v>
      </c>
    </row>
    <row r="8" spans="1:6" x14ac:dyDescent="0.3">
      <c r="A8">
        <v>7</v>
      </c>
      <c r="B8" s="113">
        <v>46082</v>
      </c>
      <c r="C8" t="s">
        <v>2706</v>
      </c>
      <c r="D8" t="s">
        <v>2707</v>
      </c>
      <c r="E8" t="s">
        <v>2708</v>
      </c>
      <c r="F8" t="s">
        <v>2709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00A2F-1A1A-4505-AB62-CA36E96A9D5F}">
  <sheetPr codeName="Sheet9"/>
  <dimension ref="A1:K101"/>
  <sheetViews>
    <sheetView topLeftCell="C5" workbookViewId="0">
      <pane xSplit="1" ySplit="1" topLeftCell="D6" activePane="bottomRight" state="frozen"/>
      <selection activeCell="C5" sqref="C5"/>
      <selection pane="topRight" activeCell="D5" sqref="D5"/>
      <selection pane="bottomLeft" activeCell="C6" sqref="C6"/>
      <selection pane="bottomRight" sqref="A1:K1"/>
    </sheetView>
  </sheetViews>
  <sheetFormatPr defaultRowHeight="14.4" x14ac:dyDescent="0.3"/>
  <cols>
    <col min="1" max="1" width="5.5546875" customWidth="1"/>
    <col min="2" max="2" width="16.6640625" customWidth="1"/>
    <col min="3" max="3" width="33.33203125" customWidth="1"/>
    <col min="4" max="4" width="13" customWidth="1"/>
    <col min="5" max="5" width="40.77734375" customWidth="1"/>
    <col min="6" max="6" width="74.109375" customWidth="1"/>
    <col min="7" max="8" width="13" customWidth="1"/>
    <col min="9" max="9" width="46.33203125" customWidth="1"/>
    <col min="10" max="10" width="27.77734375" customWidth="1"/>
    <col min="11" max="11" width="14.77734375" customWidth="1"/>
  </cols>
  <sheetData>
    <row r="1" spans="1:11" ht="21" x14ac:dyDescent="0.4">
      <c r="A1" s="114" t="s">
        <v>2414</v>
      </c>
      <c r="B1" s="114"/>
      <c r="C1" s="114"/>
      <c r="D1" s="114"/>
      <c r="E1" s="114"/>
      <c r="F1" s="114"/>
      <c r="G1" s="114"/>
      <c r="H1" s="114"/>
      <c r="I1" s="114"/>
      <c r="J1" s="114"/>
      <c r="K1" s="114"/>
    </row>
    <row r="2" spans="1:11" x14ac:dyDescent="0.3">
      <c r="A2" s="115" t="s">
        <v>2415</v>
      </c>
      <c r="B2" s="115"/>
      <c r="C2" s="115"/>
      <c r="D2" s="115"/>
      <c r="E2" s="115"/>
      <c r="F2" s="115"/>
      <c r="G2" s="115"/>
      <c r="H2" s="115"/>
      <c r="I2" s="115"/>
      <c r="J2" s="115"/>
      <c r="K2" s="115"/>
    </row>
    <row r="3" spans="1:11" ht="15" thickBot="1" x14ac:dyDescent="0.35">
      <c r="A3" s="116" t="s">
        <v>2416</v>
      </c>
      <c r="B3" s="116"/>
      <c r="C3" s="116"/>
      <c r="D3" s="116"/>
      <c r="E3" s="116"/>
      <c r="F3" s="116"/>
      <c r="G3" s="116"/>
      <c r="H3" s="116"/>
      <c r="I3" s="116"/>
      <c r="J3" s="116"/>
      <c r="K3" s="116"/>
    </row>
    <row r="4" spans="1:11" ht="27.6" x14ac:dyDescent="0.3">
      <c r="A4" s="117" t="s">
        <v>142</v>
      </c>
      <c r="B4" s="118" t="s">
        <v>273</v>
      </c>
      <c r="C4" s="118" t="s">
        <v>2073</v>
      </c>
      <c r="D4" s="118" t="s">
        <v>2074</v>
      </c>
      <c r="E4" s="118" t="s">
        <v>2075</v>
      </c>
      <c r="F4" s="118" t="s">
        <v>2076</v>
      </c>
      <c r="G4" s="119" t="s">
        <v>2077</v>
      </c>
      <c r="H4" s="118" t="s">
        <v>2078</v>
      </c>
      <c r="I4" s="118" t="s">
        <v>2079</v>
      </c>
      <c r="J4" s="118" t="s">
        <v>2080</v>
      </c>
      <c r="K4" s="120" t="s">
        <v>2081</v>
      </c>
    </row>
    <row r="5" spans="1:11" ht="31.95" customHeight="1" x14ac:dyDescent="0.3">
      <c r="A5" s="121">
        <v>1</v>
      </c>
      <c r="B5" s="122" t="s">
        <v>291</v>
      </c>
      <c r="C5" s="122" t="s">
        <v>292</v>
      </c>
      <c r="D5" s="123" t="s">
        <v>2018</v>
      </c>
      <c r="E5" s="124" t="s">
        <v>293</v>
      </c>
      <c r="F5" s="124" t="s">
        <v>2417</v>
      </c>
      <c r="G5" s="125">
        <v>0</v>
      </c>
      <c r="H5" s="126" t="s">
        <v>2086</v>
      </c>
      <c r="I5" s="124"/>
      <c r="J5" s="122" t="s">
        <v>2418</v>
      </c>
      <c r="K5" s="127" t="s">
        <v>2088</v>
      </c>
    </row>
    <row r="6" spans="1:11" ht="31.95" customHeight="1" x14ac:dyDescent="0.3">
      <c r="A6" s="128">
        <v>2</v>
      </c>
      <c r="B6" s="129" t="s">
        <v>301</v>
      </c>
      <c r="C6" s="129" t="s">
        <v>292</v>
      </c>
      <c r="D6" s="130" t="s">
        <v>2019</v>
      </c>
      <c r="E6" s="131" t="s">
        <v>522</v>
      </c>
      <c r="F6" s="131" t="s">
        <v>2419</v>
      </c>
      <c r="G6" s="125">
        <v>0</v>
      </c>
      <c r="H6" s="132" t="s">
        <v>2086</v>
      </c>
      <c r="I6" s="131"/>
      <c r="J6" s="129" t="s">
        <v>2418</v>
      </c>
      <c r="K6" s="133" t="s">
        <v>2088</v>
      </c>
    </row>
    <row r="7" spans="1:11" ht="31.95" customHeight="1" x14ac:dyDescent="0.3">
      <c r="A7" s="121">
        <v>3</v>
      </c>
      <c r="B7" s="122" t="s">
        <v>304</v>
      </c>
      <c r="C7" s="122" t="s">
        <v>292</v>
      </c>
      <c r="D7" s="123" t="s">
        <v>2018</v>
      </c>
      <c r="E7" s="124" t="s">
        <v>524</v>
      </c>
      <c r="F7" s="124" t="s">
        <v>2420</v>
      </c>
      <c r="G7" s="125">
        <v>0</v>
      </c>
      <c r="H7" s="126" t="s">
        <v>2086</v>
      </c>
      <c r="I7" s="124"/>
      <c r="J7" s="122" t="s">
        <v>2418</v>
      </c>
      <c r="K7" s="127" t="s">
        <v>2088</v>
      </c>
    </row>
    <row r="8" spans="1:11" ht="31.95" customHeight="1" x14ac:dyDescent="0.3">
      <c r="A8" s="128">
        <v>4</v>
      </c>
      <c r="B8" s="129" t="s">
        <v>307</v>
      </c>
      <c r="C8" s="129" t="s">
        <v>292</v>
      </c>
      <c r="D8" s="130" t="s">
        <v>2019</v>
      </c>
      <c r="E8" s="131" t="s">
        <v>526</v>
      </c>
      <c r="F8" s="131" t="s">
        <v>2421</v>
      </c>
      <c r="G8" s="125">
        <v>0</v>
      </c>
      <c r="H8" s="132" t="s">
        <v>2086</v>
      </c>
      <c r="I8" s="131"/>
      <c r="J8" s="129" t="s">
        <v>2418</v>
      </c>
      <c r="K8" s="133" t="s">
        <v>2088</v>
      </c>
    </row>
    <row r="9" spans="1:11" ht="31.95" customHeight="1" x14ac:dyDescent="0.3">
      <c r="A9" s="121">
        <v>5</v>
      </c>
      <c r="B9" s="122" t="s">
        <v>310</v>
      </c>
      <c r="C9" s="122" t="s">
        <v>292</v>
      </c>
      <c r="D9" s="130" t="s">
        <v>2019</v>
      </c>
      <c r="E9" s="124" t="s">
        <v>311</v>
      </c>
      <c r="F9" s="124" t="s">
        <v>2422</v>
      </c>
      <c r="G9" s="125">
        <v>0</v>
      </c>
      <c r="H9" s="126" t="s">
        <v>2086</v>
      </c>
      <c r="I9" s="124"/>
      <c r="J9" s="122" t="s">
        <v>2418</v>
      </c>
      <c r="K9" s="127" t="s">
        <v>2088</v>
      </c>
    </row>
    <row r="10" spans="1:11" ht="31.95" customHeight="1" x14ac:dyDescent="0.3">
      <c r="A10" s="128">
        <v>6</v>
      </c>
      <c r="B10" s="129" t="s">
        <v>315</v>
      </c>
      <c r="C10" s="129" t="s">
        <v>316</v>
      </c>
      <c r="D10" s="134" t="s">
        <v>2020</v>
      </c>
      <c r="E10" s="131" t="s">
        <v>531</v>
      </c>
      <c r="F10" s="131" t="s">
        <v>2423</v>
      </c>
      <c r="G10" s="125">
        <v>0</v>
      </c>
      <c r="H10" s="132" t="s">
        <v>2086</v>
      </c>
      <c r="I10" s="131"/>
      <c r="J10" s="129" t="s">
        <v>2424</v>
      </c>
      <c r="K10" s="133" t="s">
        <v>2088</v>
      </c>
    </row>
    <row r="11" spans="1:11" ht="31.95" customHeight="1" x14ac:dyDescent="0.3">
      <c r="A11" s="121">
        <v>7</v>
      </c>
      <c r="B11" s="122" t="s">
        <v>320</v>
      </c>
      <c r="C11" s="122" t="s">
        <v>316</v>
      </c>
      <c r="D11" s="134" t="s">
        <v>2020</v>
      </c>
      <c r="E11" s="124" t="s">
        <v>533</v>
      </c>
      <c r="F11" s="124" t="s">
        <v>2425</v>
      </c>
      <c r="G11" s="125">
        <v>0</v>
      </c>
      <c r="H11" s="126" t="s">
        <v>2086</v>
      </c>
      <c r="I11" s="124"/>
      <c r="J11" s="122" t="s">
        <v>2424</v>
      </c>
      <c r="K11" s="127" t="s">
        <v>2088</v>
      </c>
    </row>
    <row r="12" spans="1:11" ht="31.95" customHeight="1" x14ac:dyDescent="0.3">
      <c r="A12" s="128">
        <v>8</v>
      </c>
      <c r="B12" s="129" t="s">
        <v>323</v>
      </c>
      <c r="C12" s="129" t="s">
        <v>316</v>
      </c>
      <c r="D12" s="130" t="s">
        <v>2019</v>
      </c>
      <c r="E12" s="131" t="s">
        <v>535</v>
      </c>
      <c r="F12" s="131" t="s">
        <v>2426</v>
      </c>
      <c r="G12" s="125">
        <v>0</v>
      </c>
      <c r="H12" s="132" t="s">
        <v>2086</v>
      </c>
      <c r="I12" s="131"/>
      <c r="J12" s="129" t="s">
        <v>2424</v>
      </c>
      <c r="K12" s="133" t="s">
        <v>2088</v>
      </c>
    </row>
    <row r="13" spans="1:11" ht="31.95" customHeight="1" x14ac:dyDescent="0.3">
      <c r="A13" s="121">
        <v>9</v>
      </c>
      <c r="B13" s="122" t="s">
        <v>326</v>
      </c>
      <c r="C13" s="122" t="s">
        <v>316</v>
      </c>
      <c r="D13" s="134" t="s">
        <v>2020</v>
      </c>
      <c r="E13" s="124" t="s">
        <v>537</v>
      </c>
      <c r="F13" s="124" t="s">
        <v>2427</v>
      </c>
      <c r="G13" s="125">
        <v>0</v>
      </c>
      <c r="H13" s="126" t="s">
        <v>2086</v>
      </c>
      <c r="I13" s="124"/>
      <c r="J13" s="122" t="s">
        <v>2424</v>
      </c>
      <c r="K13" s="127" t="s">
        <v>2088</v>
      </c>
    </row>
    <row r="14" spans="1:11" ht="31.95" customHeight="1" x14ac:dyDescent="0.3">
      <c r="A14" s="128">
        <v>10</v>
      </c>
      <c r="B14" s="129" t="s">
        <v>329</v>
      </c>
      <c r="C14" s="129" t="s">
        <v>316</v>
      </c>
      <c r="D14" s="135" t="s">
        <v>2021</v>
      </c>
      <c r="E14" s="131" t="s">
        <v>539</v>
      </c>
      <c r="F14" s="131" t="s">
        <v>2428</v>
      </c>
      <c r="G14" s="125">
        <v>0</v>
      </c>
      <c r="H14" s="132" t="s">
        <v>2086</v>
      </c>
      <c r="I14" s="131"/>
      <c r="J14" s="129" t="s">
        <v>2424</v>
      </c>
      <c r="K14" s="133" t="s">
        <v>2088</v>
      </c>
    </row>
    <row r="15" spans="1:11" ht="31.95" customHeight="1" x14ac:dyDescent="0.3">
      <c r="A15" s="121">
        <v>11</v>
      </c>
      <c r="B15" s="122" t="s">
        <v>332</v>
      </c>
      <c r="C15" s="122" t="s">
        <v>316</v>
      </c>
      <c r="D15" s="135" t="s">
        <v>2021</v>
      </c>
      <c r="E15" s="124" t="s">
        <v>333</v>
      </c>
      <c r="F15" s="124" t="s">
        <v>2429</v>
      </c>
      <c r="G15" s="125">
        <v>0</v>
      </c>
      <c r="H15" s="126" t="s">
        <v>2086</v>
      </c>
      <c r="I15" s="124"/>
      <c r="J15" s="122" t="s">
        <v>2424</v>
      </c>
      <c r="K15" s="127" t="s">
        <v>2088</v>
      </c>
    </row>
    <row r="16" spans="1:11" ht="31.95" customHeight="1" x14ac:dyDescent="0.3">
      <c r="A16" s="128">
        <v>12</v>
      </c>
      <c r="B16" s="129" t="s">
        <v>336</v>
      </c>
      <c r="C16" s="129" t="s">
        <v>337</v>
      </c>
      <c r="D16" s="123" t="s">
        <v>2018</v>
      </c>
      <c r="E16" s="131" t="s">
        <v>543</v>
      </c>
      <c r="F16" s="131" t="s">
        <v>2430</v>
      </c>
      <c r="G16" s="125">
        <v>0</v>
      </c>
      <c r="H16" s="132" t="s">
        <v>2086</v>
      </c>
      <c r="I16" s="131"/>
      <c r="J16" s="129" t="s">
        <v>2260</v>
      </c>
      <c r="K16" s="133" t="s">
        <v>2093</v>
      </c>
    </row>
    <row r="17" spans="1:11" ht="31.95" customHeight="1" x14ac:dyDescent="0.3">
      <c r="A17" s="121">
        <v>13</v>
      </c>
      <c r="B17" s="122" t="s">
        <v>340</v>
      </c>
      <c r="C17" s="122" t="s">
        <v>337</v>
      </c>
      <c r="D17" s="130" t="s">
        <v>2019</v>
      </c>
      <c r="E17" s="124" t="s">
        <v>546</v>
      </c>
      <c r="F17" s="124" t="s">
        <v>2431</v>
      </c>
      <c r="G17" s="125">
        <v>0</v>
      </c>
      <c r="H17" s="126" t="s">
        <v>2086</v>
      </c>
      <c r="I17" s="124"/>
      <c r="J17" s="122" t="s">
        <v>2432</v>
      </c>
      <c r="K17" s="127" t="s">
        <v>2093</v>
      </c>
    </row>
    <row r="18" spans="1:11" ht="31.95" customHeight="1" x14ac:dyDescent="0.3">
      <c r="A18" s="128">
        <v>14</v>
      </c>
      <c r="B18" s="129" t="s">
        <v>343</v>
      </c>
      <c r="C18" s="129" t="s">
        <v>337</v>
      </c>
      <c r="D18" s="130" t="s">
        <v>2019</v>
      </c>
      <c r="E18" s="131" t="s">
        <v>549</v>
      </c>
      <c r="F18" s="131" t="s">
        <v>2433</v>
      </c>
      <c r="G18" s="125">
        <v>0</v>
      </c>
      <c r="H18" s="132" t="s">
        <v>2086</v>
      </c>
      <c r="I18" s="131"/>
      <c r="J18" s="129" t="s">
        <v>548</v>
      </c>
      <c r="K18" s="133" t="s">
        <v>2093</v>
      </c>
    </row>
    <row r="19" spans="1:11" ht="31.95" customHeight="1" x14ac:dyDescent="0.3">
      <c r="A19" s="121">
        <v>15</v>
      </c>
      <c r="B19" s="122" t="s">
        <v>346</v>
      </c>
      <c r="C19" s="122" t="s">
        <v>337</v>
      </c>
      <c r="D19" s="130" t="s">
        <v>2019</v>
      </c>
      <c r="E19" s="124" t="s">
        <v>552</v>
      </c>
      <c r="F19" s="124" t="s">
        <v>2434</v>
      </c>
      <c r="G19" s="125">
        <v>0</v>
      </c>
      <c r="H19" s="126" t="s">
        <v>2086</v>
      </c>
      <c r="I19" s="124"/>
      <c r="J19" s="122" t="s">
        <v>551</v>
      </c>
      <c r="K19" s="127" t="s">
        <v>2093</v>
      </c>
    </row>
    <row r="20" spans="1:11" ht="31.95" customHeight="1" x14ac:dyDescent="0.3">
      <c r="A20" s="128">
        <v>16</v>
      </c>
      <c r="B20" s="129" t="s">
        <v>349</v>
      </c>
      <c r="C20" s="129" t="s">
        <v>337</v>
      </c>
      <c r="D20" s="130" t="s">
        <v>2019</v>
      </c>
      <c r="E20" s="131" t="s">
        <v>555</v>
      </c>
      <c r="F20" s="131" t="s">
        <v>2435</v>
      </c>
      <c r="G20" s="125">
        <v>0</v>
      </c>
      <c r="H20" s="132" t="s">
        <v>2086</v>
      </c>
      <c r="I20" s="131"/>
      <c r="J20" s="129" t="s">
        <v>554</v>
      </c>
      <c r="K20" s="133" t="s">
        <v>2093</v>
      </c>
    </row>
    <row r="21" spans="1:11" ht="31.95" customHeight="1" x14ac:dyDescent="0.3">
      <c r="A21" s="121">
        <v>17</v>
      </c>
      <c r="B21" s="122" t="s">
        <v>352</v>
      </c>
      <c r="C21" s="122" t="s">
        <v>337</v>
      </c>
      <c r="D21" s="134" t="s">
        <v>2020</v>
      </c>
      <c r="E21" s="124" t="s">
        <v>558</v>
      </c>
      <c r="F21" s="124" t="s">
        <v>2436</v>
      </c>
      <c r="G21" s="125">
        <v>0</v>
      </c>
      <c r="H21" s="126" t="s">
        <v>2086</v>
      </c>
      <c r="I21" s="124"/>
      <c r="J21" s="122" t="s">
        <v>557</v>
      </c>
      <c r="K21" s="127" t="s">
        <v>2093</v>
      </c>
    </row>
    <row r="22" spans="1:11" ht="31.95" customHeight="1" x14ac:dyDescent="0.3">
      <c r="A22" s="128">
        <v>18</v>
      </c>
      <c r="B22" s="129" t="s">
        <v>356</v>
      </c>
      <c r="C22" s="129" t="s">
        <v>357</v>
      </c>
      <c r="D22" s="123" t="s">
        <v>2018</v>
      </c>
      <c r="E22" s="131" t="s">
        <v>561</v>
      </c>
      <c r="F22" s="131" t="s">
        <v>2437</v>
      </c>
      <c r="G22" s="125">
        <v>0</v>
      </c>
      <c r="H22" s="132" t="s">
        <v>2086</v>
      </c>
      <c r="I22" s="131"/>
      <c r="J22" s="129" t="s">
        <v>2438</v>
      </c>
      <c r="K22" s="133" t="s">
        <v>2111</v>
      </c>
    </row>
    <row r="23" spans="1:11" ht="31.95" customHeight="1" x14ac:dyDescent="0.3">
      <c r="A23" s="121">
        <v>19</v>
      </c>
      <c r="B23" s="122" t="s">
        <v>360</v>
      </c>
      <c r="C23" s="122" t="s">
        <v>357</v>
      </c>
      <c r="D23" s="130" t="s">
        <v>2019</v>
      </c>
      <c r="E23" s="124" t="s">
        <v>564</v>
      </c>
      <c r="F23" s="124" t="s">
        <v>2439</v>
      </c>
      <c r="G23" s="125">
        <v>0</v>
      </c>
      <c r="H23" s="126" t="s">
        <v>2086</v>
      </c>
      <c r="I23" s="124"/>
      <c r="J23" s="122" t="s">
        <v>2440</v>
      </c>
      <c r="K23" s="127" t="s">
        <v>2111</v>
      </c>
    </row>
    <row r="24" spans="1:11" ht="31.95" customHeight="1" x14ac:dyDescent="0.3">
      <c r="A24" s="128">
        <v>20</v>
      </c>
      <c r="B24" s="129" t="s">
        <v>363</v>
      </c>
      <c r="C24" s="129" t="s">
        <v>357</v>
      </c>
      <c r="D24" s="130" t="s">
        <v>2019</v>
      </c>
      <c r="E24" s="131" t="s">
        <v>567</v>
      </c>
      <c r="F24" s="131" t="s">
        <v>2441</v>
      </c>
      <c r="G24" s="125">
        <v>0</v>
      </c>
      <c r="H24" s="132" t="s">
        <v>2086</v>
      </c>
      <c r="I24" s="131"/>
      <c r="J24" s="129" t="s">
        <v>2442</v>
      </c>
      <c r="K24" s="133" t="s">
        <v>2111</v>
      </c>
    </row>
    <row r="25" spans="1:11" ht="31.95" customHeight="1" x14ac:dyDescent="0.3">
      <c r="A25" s="121">
        <v>21</v>
      </c>
      <c r="B25" s="122" t="s">
        <v>366</v>
      </c>
      <c r="C25" s="122" t="s">
        <v>357</v>
      </c>
      <c r="D25" s="130" t="s">
        <v>2019</v>
      </c>
      <c r="E25" s="124" t="s">
        <v>570</v>
      </c>
      <c r="F25" s="124" t="s">
        <v>2443</v>
      </c>
      <c r="G25" s="125">
        <v>0</v>
      </c>
      <c r="H25" s="126" t="s">
        <v>2086</v>
      </c>
      <c r="I25" s="124"/>
      <c r="J25" s="122" t="s">
        <v>2444</v>
      </c>
      <c r="K25" s="127" t="s">
        <v>2111</v>
      </c>
    </row>
    <row r="26" spans="1:11" ht="31.95" customHeight="1" x14ac:dyDescent="0.3">
      <c r="A26" s="128">
        <v>22</v>
      </c>
      <c r="B26" s="129" t="s">
        <v>369</v>
      </c>
      <c r="C26" s="129" t="s">
        <v>357</v>
      </c>
      <c r="D26" s="130" t="s">
        <v>2019</v>
      </c>
      <c r="E26" s="131" t="s">
        <v>573</v>
      </c>
      <c r="F26" s="131" t="s">
        <v>2445</v>
      </c>
      <c r="G26" s="125">
        <v>0</v>
      </c>
      <c r="H26" s="132" t="s">
        <v>2086</v>
      </c>
      <c r="I26" s="131"/>
      <c r="J26" s="129" t="s">
        <v>2446</v>
      </c>
      <c r="K26" s="133" t="s">
        <v>2111</v>
      </c>
    </row>
    <row r="27" spans="1:11" ht="31.95" customHeight="1" x14ac:dyDescent="0.3">
      <c r="A27" s="121">
        <v>23</v>
      </c>
      <c r="B27" s="122" t="s">
        <v>372</v>
      </c>
      <c r="C27" s="122" t="s">
        <v>357</v>
      </c>
      <c r="D27" s="130" t="s">
        <v>2019</v>
      </c>
      <c r="E27" s="124" t="s">
        <v>373</v>
      </c>
      <c r="F27" s="124" t="s">
        <v>2447</v>
      </c>
      <c r="G27" s="125">
        <v>0</v>
      </c>
      <c r="H27" s="126" t="s">
        <v>2086</v>
      </c>
      <c r="I27" s="124"/>
      <c r="J27" s="122" t="s">
        <v>2214</v>
      </c>
      <c r="K27" s="127" t="s">
        <v>2111</v>
      </c>
    </row>
    <row r="28" spans="1:11" ht="31.95" customHeight="1" x14ac:dyDescent="0.3">
      <c r="A28" s="128">
        <v>24</v>
      </c>
      <c r="B28" s="129" t="s">
        <v>379</v>
      </c>
      <c r="C28" s="129" t="s">
        <v>380</v>
      </c>
      <c r="D28" s="134" t="s">
        <v>2020</v>
      </c>
      <c r="E28" s="131" t="s">
        <v>579</v>
      </c>
      <c r="F28" s="131" t="s">
        <v>2448</v>
      </c>
      <c r="G28" s="125">
        <v>0</v>
      </c>
      <c r="H28" s="132" t="s">
        <v>2086</v>
      </c>
      <c r="I28" s="131"/>
      <c r="J28" s="129" t="s">
        <v>577</v>
      </c>
      <c r="K28" s="133" t="s">
        <v>2088</v>
      </c>
    </row>
    <row r="29" spans="1:11" ht="31.95" customHeight="1" x14ac:dyDescent="0.3">
      <c r="A29" s="121">
        <v>25</v>
      </c>
      <c r="B29" s="122" t="s">
        <v>383</v>
      </c>
      <c r="C29" s="122" t="s">
        <v>380</v>
      </c>
      <c r="D29" s="134" t="s">
        <v>2020</v>
      </c>
      <c r="E29" s="124" t="s">
        <v>384</v>
      </c>
      <c r="F29" s="124" t="s">
        <v>2449</v>
      </c>
      <c r="G29" s="125">
        <v>0</v>
      </c>
      <c r="H29" s="126" t="s">
        <v>2086</v>
      </c>
      <c r="I29" s="124"/>
      <c r="J29" s="122" t="s">
        <v>577</v>
      </c>
      <c r="K29" s="127" t="s">
        <v>2088</v>
      </c>
    </row>
    <row r="30" spans="1:11" ht="31.95" customHeight="1" x14ac:dyDescent="0.3">
      <c r="A30" s="128">
        <v>26</v>
      </c>
      <c r="B30" s="129" t="s">
        <v>386</v>
      </c>
      <c r="C30" s="129" t="s">
        <v>380</v>
      </c>
      <c r="D30" s="134" t="s">
        <v>2020</v>
      </c>
      <c r="E30" s="131" t="s">
        <v>387</v>
      </c>
      <c r="F30" s="131" t="s">
        <v>2450</v>
      </c>
      <c r="G30" s="125">
        <v>0</v>
      </c>
      <c r="H30" s="132" t="s">
        <v>2086</v>
      </c>
      <c r="I30" s="131"/>
      <c r="J30" s="129" t="s">
        <v>582</v>
      </c>
      <c r="K30" s="133" t="s">
        <v>2088</v>
      </c>
    </row>
    <row r="31" spans="1:11" ht="31.95" customHeight="1" x14ac:dyDescent="0.3">
      <c r="A31" s="121">
        <v>27</v>
      </c>
      <c r="B31" s="122" t="s">
        <v>389</v>
      </c>
      <c r="C31" s="122" t="s">
        <v>380</v>
      </c>
      <c r="D31" s="130" t="s">
        <v>2019</v>
      </c>
      <c r="E31" s="124" t="s">
        <v>2451</v>
      </c>
      <c r="F31" s="124" t="s">
        <v>2452</v>
      </c>
      <c r="G31" s="125">
        <v>0</v>
      </c>
      <c r="H31" s="126" t="s">
        <v>2086</v>
      </c>
      <c r="I31" s="124"/>
      <c r="J31" s="122" t="s">
        <v>2453</v>
      </c>
      <c r="K31" s="127" t="s">
        <v>2088</v>
      </c>
    </row>
    <row r="32" spans="1:11" ht="31.95" customHeight="1" x14ac:dyDescent="0.3">
      <c r="A32" s="128">
        <v>28</v>
      </c>
      <c r="B32" s="129" t="s">
        <v>392</v>
      </c>
      <c r="C32" s="129" t="s">
        <v>380</v>
      </c>
      <c r="D32" s="134" t="s">
        <v>2020</v>
      </c>
      <c r="E32" s="131" t="s">
        <v>2454</v>
      </c>
      <c r="F32" s="131" t="s">
        <v>2455</v>
      </c>
      <c r="G32" s="125">
        <v>0</v>
      </c>
      <c r="H32" s="132" t="s">
        <v>2086</v>
      </c>
      <c r="I32" s="131"/>
      <c r="J32" s="129" t="s">
        <v>2456</v>
      </c>
      <c r="K32" s="133" t="s">
        <v>2088</v>
      </c>
    </row>
    <row r="33" spans="1:11" ht="31.95" customHeight="1" x14ac:dyDescent="0.3">
      <c r="A33" s="121">
        <v>29</v>
      </c>
      <c r="B33" s="122" t="s">
        <v>395</v>
      </c>
      <c r="C33" s="122" t="s">
        <v>337</v>
      </c>
      <c r="D33" s="130" t="s">
        <v>2019</v>
      </c>
      <c r="E33" s="124" t="s">
        <v>396</v>
      </c>
      <c r="F33" s="124" t="s">
        <v>2457</v>
      </c>
      <c r="G33" s="125">
        <v>0</v>
      </c>
      <c r="H33" s="126" t="s">
        <v>2086</v>
      </c>
      <c r="I33" s="124"/>
      <c r="J33" s="122" t="s">
        <v>2260</v>
      </c>
      <c r="K33" s="127" t="s">
        <v>2093</v>
      </c>
    </row>
    <row r="34" spans="1:11" ht="31.95" customHeight="1" x14ac:dyDescent="0.3">
      <c r="A34" s="128">
        <v>30</v>
      </c>
      <c r="B34" s="129" t="s">
        <v>375</v>
      </c>
      <c r="C34" s="129" t="s">
        <v>357</v>
      </c>
      <c r="D34" s="134" t="s">
        <v>2020</v>
      </c>
      <c r="E34" s="131" t="s">
        <v>376</v>
      </c>
      <c r="F34" s="131" t="s">
        <v>2458</v>
      </c>
      <c r="G34" s="125">
        <v>0</v>
      </c>
      <c r="H34" s="132" t="s">
        <v>2086</v>
      </c>
      <c r="I34" s="131"/>
      <c r="J34" s="129" t="s">
        <v>2459</v>
      </c>
      <c r="K34" s="133" t="s">
        <v>2111</v>
      </c>
    </row>
    <row r="35" spans="1:11" ht="31.95" customHeight="1" x14ac:dyDescent="0.3">
      <c r="A35" s="121">
        <v>31</v>
      </c>
      <c r="B35" s="122" t="s">
        <v>487</v>
      </c>
      <c r="C35" s="122" t="s">
        <v>488</v>
      </c>
      <c r="D35" s="134" t="s">
        <v>2020</v>
      </c>
      <c r="E35" s="124" t="s">
        <v>595</v>
      </c>
      <c r="F35" s="124" t="s">
        <v>2460</v>
      </c>
      <c r="G35" s="125">
        <v>0</v>
      </c>
      <c r="H35" s="126" t="s">
        <v>2086</v>
      </c>
      <c r="I35" s="124"/>
      <c r="J35" s="122" t="s">
        <v>2461</v>
      </c>
      <c r="K35" s="127" t="s">
        <v>2088</v>
      </c>
    </row>
    <row r="36" spans="1:11" ht="31.95" customHeight="1" x14ac:dyDescent="0.3">
      <c r="A36" s="128">
        <v>32</v>
      </c>
      <c r="B36" s="129" t="s">
        <v>491</v>
      </c>
      <c r="C36" s="129" t="s">
        <v>488</v>
      </c>
      <c r="D36" s="134" t="s">
        <v>2020</v>
      </c>
      <c r="E36" s="131" t="s">
        <v>598</v>
      </c>
      <c r="F36" s="131" t="s">
        <v>2462</v>
      </c>
      <c r="G36" s="125">
        <v>0</v>
      </c>
      <c r="H36" s="132" t="s">
        <v>2086</v>
      </c>
      <c r="I36" s="131"/>
      <c r="J36" s="129" t="s">
        <v>2463</v>
      </c>
      <c r="K36" s="133" t="s">
        <v>2088</v>
      </c>
    </row>
    <row r="37" spans="1:11" ht="31.95" customHeight="1" x14ac:dyDescent="0.3">
      <c r="A37" s="121">
        <v>33</v>
      </c>
      <c r="B37" s="122" t="s">
        <v>403</v>
      </c>
      <c r="C37" s="122" t="s">
        <v>2464</v>
      </c>
      <c r="D37" s="135" t="s">
        <v>2021</v>
      </c>
      <c r="E37" s="124" t="s">
        <v>602</v>
      </c>
      <c r="F37" s="124" t="s">
        <v>2465</v>
      </c>
      <c r="G37" s="125">
        <v>0</v>
      </c>
      <c r="H37" s="126" t="s">
        <v>2086</v>
      </c>
      <c r="I37" s="124"/>
      <c r="J37" s="122" t="s">
        <v>2466</v>
      </c>
      <c r="K37" s="127" t="s">
        <v>2111</v>
      </c>
    </row>
    <row r="38" spans="1:11" ht="31.95" customHeight="1" x14ac:dyDescent="0.3">
      <c r="A38" s="128">
        <v>34</v>
      </c>
      <c r="B38" s="129" t="s">
        <v>406</v>
      </c>
      <c r="C38" s="129" t="s">
        <v>2464</v>
      </c>
      <c r="D38" s="135" t="s">
        <v>2021</v>
      </c>
      <c r="E38" s="131" t="s">
        <v>604</v>
      </c>
      <c r="F38" s="131" t="s">
        <v>2467</v>
      </c>
      <c r="G38" s="125">
        <v>0</v>
      </c>
      <c r="H38" s="132" t="s">
        <v>2086</v>
      </c>
      <c r="I38" s="131"/>
      <c r="J38" s="129" t="s">
        <v>2466</v>
      </c>
      <c r="K38" s="133" t="s">
        <v>2111</v>
      </c>
    </row>
    <row r="39" spans="1:11" ht="31.95" customHeight="1" x14ac:dyDescent="0.3">
      <c r="A39" s="121">
        <v>35</v>
      </c>
      <c r="B39" s="122" t="s">
        <v>399</v>
      </c>
      <c r="C39" s="122" t="s">
        <v>2464</v>
      </c>
      <c r="D39" s="123" t="s">
        <v>2018</v>
      </c>
      <c r="E39" s="124" t="s">
        <v>401</v>
      </c>
      <c r="F39" s="124" t="s">
        <v>2468</v>
      </c>
      <c r="G39" s="125">
        <v>0</v>
      </c>
      <c r="H39" s="126" t="s">
        <v>2086</v>
      </c>
      <c r="I39" s="124"/>
      <c r="J39" s="122" t="s">
        <v>2469</v>
      </c>
      <c r="K39" s="127" t="s">
        <v>2111</v>
      </c>
    </row>
    <row r="40" spans="1:11" ht="31.95" customHeight="1" x14ac:dyDescent="0.3">
      <c r="A40" s="128">
        <v>36</v>
      </c>
      <c r="B40" s="129" t="s">
        <v>409</v>
      </c>
      <c r="C40" s="129" t="s">
        <v>2464</v>
      </c>
      <c r="D40" s="135" t="s">
        <v>2021</v>
      </c>
      <c r="E40" s="131" t="s">
        <v>2470</v>
      </c>
      <c r="F40" s="131" t="s">
        <v>2471</v>
      </c>
      <c r="G40" s="125">
        <v>0</v>
      </c>
      <c r="H40" s="132" t="s">
        <v>2086</v>
      </c>
      <c r="I40" s="131"/>
      <c r="J40" s="129" t="s">
        <v>2472</v>
      </c>
      <c r="K40" s="133" t="s">
        <v>2111</v>
      </c>
    </row>
    <row r="41" spans="1:11" ht="31.95" customHeight="1" x14ac:dyDescent="0.3">
      <c r="A41" s="121">
        <v>37</v>
      </c>
      <c r="B41" s="122" t="s">
        <v>2473</v>
      </c>
      <c r="C41" s="122" t="s">
        <v>2464</v>
      </c>
      <c r="D41" s="135" t="s">
        <v>2021</v>
      </c>
      <c r="E41" s="124" t="s">
        <v>2474</v>
      </c>
      <c r="F41" s="124" t="s">
        <v>2475</v>
      </c>
      <c r="G41" s="125">
        <v>0</v>
      </c>
      <c r="H41" s="126" t="s">
        <v>2086</v>
      </c>
      <c r="I41" s="124"/>
      <c r="J41" s="122" t="s">
        <v>2466</v>
      </c>
      <c r="K41" s="127" t="s">
        <v>2111</v>
      </c>
    </row>
    <row r="42" spans="1:11" ht="31.95" customHeight="1" x14ac:dyDescent="0.3">
      <c r="A42" s="128">
        <v>38</v>
      </c>
      <c r="B42" s="129" t="s">
        <v>2476</v>
      </c>
      <c r="C42" s="129" t="s">
        <v>2464</v>
      </c>
      <c r="D42" s="135" t="s">
        <v>2021</v>
      </c>
      <c r="E42" s="131" t="s">
        <v>2477</v>
      </c>
      <c r="F42" s="131" t="s">
        <v>2478</v>
      </c>
      <c r="G42" s="125">
        <v>0</v>
      </c>
      <c r="H42" s="132" t="s">
        <v>2086</v>
      </c>
      <c r="I42" s="131"/>
      <c r="J42" s="129" t="s">
        <v>2472</v>
      </c>
      <c r="K42" s="133" t="s">
        <v>2111</v>
      </c>
    </row>
    <row r="43" spans="1:11" ht="31.95" customHeight="1" x14ac:dyDescent="0.3">
      <c r="A43" s="121">
        <v>39</v>
      </c>
      <c r="B43" s="122" t="s">
        <v>2479</v>
      </c>
      <c r="C43" s="122" t="s">
        <v>2464</v>
      </c>
      <c r="D43" s="135" t="s">
        <v>2021</v>
      </c>
      <c r="E43" s="124" t="s">
        <v>618</v>
      </c>
      <c r="F43" s="124" t="s">
        <v>2480</v>
      </c>
      <c r="G43" s="125">
        <v>0</v>
      </c>
      <c r="H43" s="126" t="s">
        <v>2086</v>
      </c>
      <c r="I43" s="124"/>
      <c r="J43" s="122" t="s">
        <v>2472</v>
      </c>
      <c r="K43" s="127" t="s">
        <v>2111</v>
      </c>
    </row>
    <row r="44" spans="1:11" ht="31.95" customHeight="1" x14ac:dyDescent="0.3">
      <c r="A44" s="128">
        <v>40</v>
      </c>
      <c r="B44" s="129" t="s">
        <v>2481</v>
      </c>
      <c r="C44" s="129" t="s">
        <v>2464</v>
      </c>
      <c r="D44" s="135" t="s">
        <v>2021</v>
      </c>
      <c r="E44" s="131" t="s">
        <v>621</v>
      </c>
      <c r="F44" s="131" t="s">
        <v>2482</v>
      </c>
      <c r="G44" s="125">
        <v>0</v>
      </c>
      <c r="H44" s="132" t="s">
        <v>2086</v>
      </c>
      <c r="I44" s="131"/>
      <c r="J44" s="129" t="s">
        <v>2472</v>
      </c>
      <c r="K44" s="133" t="s">
        <v>2111</v>
      </c>
    </row>
    <row r="45" spans="1:11" ht="31.95" customHeight="1" x14ac:dyDescent="0.3">
      <c r="A45" s="121">
        <v>41</v>
      </c>
      <c r="B45" s="122" t="s">
        <v>2483</v>
      </c>
      <c r="C45" s="122" t="s">
        <v>2464</v>
      </c>
      <c r="D45" s="135" t="s">
        <v>2021</v>
      </c>
      <c r="E45" s="124" t="s">
        <v>624</v>
      </c>
      <c r="F45" s="124" t="s">
        <v>2484</v>
      </c>
      <c r="G45" s="125">
        <v>0</v>
      </c>
      <c r="H45" s="126" t="s">
        <v>2086</v>
      </c>
      <c r="I45" s="124"/>
      <c r="J45" s="122" t="s">
        <v>2472</v>
      </c>
      <c r="K45" s="127" t="s">
        <v>2111</v>
      </c>
    </row>
    <row r="46" spans="1:11" ht="31.95" customHeight="1" x14ac:dyDescent="0.3">
      <c r="A46" s="128">
        <v>42</v>
      </c>
      <c r="B46" s="129" t="s">
        <v>2485</v>
      </c>
      <c r="C46" s="129" t="s">
        <v>2464</v>
      </c>
      <c r="D46" s="135" t="s">
        <v>2021</v>
      </c>
      <c r="E46" s="131" t="s">
        <v>627</v>
      </c>
      <c r="F46" s="131" t="s">
        <v>2486</v>
      </c>
      <c r="G46" s="125">
        <v>0</v>
      </c>
      <c r="H46" s="132" t="s">
        <v>2086</v>
      </c>
      <c r="I46" s="131"/>
      <c r="J46" s="129" t="s">
        <v>2472</v>
      </c>
      <c r="K46" s="133" t="s">
        <v>2111</v>
      </c>
    </row>
    <row r="47" spans="1:11" ht="31.95" customHeight="1" x14ac:dyDescent="0.3">
      <c r="A47" s="121">
        <v>43</v>
      </c>
      <c r="B47" s="122" t="s">
        <v>2487</v>
      </c>
      <c r="C47" s="122" t="s">
        <v>2464</v>
      </c>
      <c r="D47" s="135" t="s">
        <v>2021</v>
      </c>
      <c r="E47" s="124" t="s">
        <v>2488</v>
      </c>
      <c r="F47" s="124" t="s">
        <v>2489</v>
      </c>
      <c r="G47" s="125">
        <v>0</v>
      </c>
      <c r="H47" s="126" t="s">
        <v>2086</v>
      </c>
      <c r="I47" s="124"/>
      <c r="J47" s="122" t="s">
        <v>2466</v>
      </c>
      <c r="K47" s="127" t="s">
        <v>2111</v>
      </c>
    </row>
    <row r="48" spans="1:11" ht="31.95" customHeight="1" x14ac:dyDescent="0.3">
      <c r="A48" s="128">
        <v>44</v>
      </c>
      <c r="B48" s="129" t="s">
        <v>2490</v>
      </c>
      <c r="C48" s="129" t="s">
        <v>2464</v>
      </c>
      <c r="D48" s="135" t="s">
        <v>2021</v>
      </c>
      <c r="E48" s="131" t="s">
        <v>2491</v>
      </c>
      <c r="F48" s="131" t="s">
        <v>2492</v>
      </c>
      <c r="G48" s="125">
        <v>0</v>
      </c>
      <c r="H48" s="132" t="s">
        <v>2086</v>
      </c>
      <c r="I48" s="131"/>
      <c r="J48" s="129" t="s">
        <v>2466</v>
      </c>
      <c r="K48" s="133" t="s">
        <v>2111</v>
      </c>
    </row>
    <row r="49" spans="1:11" ht="31.95" customHeight="1" x14ac:dyDescent="0.3">
      <c r="A49" s="121">
        <v>45</v>
      </c>
      <c r="B49" s="122" t="s">
        <v>2493</v>
      </c>
      <c r="C49" s="122" t="s">
        <v>2464</v>
      </c>
      <c r="D49" s="135" t="s">
        <v>2021</v>
      </c>
      <c r="E49" s="124" t="s">
        <v>2494</v>
      </c>
      <c r="F49" s="124" t="s">
        <v>2495</v>
      </c>
      <c r="G49" s="125">
        <v>0</v>
      </c>
      <c r="H49" s="126" t="s">
        <v>2086</v>
      </c>
      <c r="I49" s="124"/>
      <c r="J49" s="122" t="s">
        <v>2466</v>
      </c>
      <c r="K49" s="127" t="s">
        <v>2111</v>
      </c>
    </row>
    <row r="50" spans="1:11" ht="31.95" customHeight="1" x14ac:dyDescent="0.3">
      <c r="A50" s="128">
        <v>46</v>
      </c>
      <c r="B50" s="129" t="s">
        <v>2496</v>
      </c>
      <c r="C50" s="129" t="s">
        <v>2464</v>
      </c>
      <c r="D50" s="135" t="s">
        <v>2021</v>
      </c>
      <c r="E50" s="131" t="s">
        <v>2497</v>
      </c>
      <c r="F50" s="131" t="s">
        <v>2498</v>
      </c>
      <c r="G50" s="125">
        <v>0</v>
      </c>
      <c r="H50" s="132" t="s">
        <v>2086</v>
      </c>
      <c r="I50" s="131"/>
      <c r="J50" s="129" t="s">
        <v>2466</v>
      </c>
      <c r="K50" s="133" t="s">
        <v>2111</v>
      </c>
    </row>
    <row r="51" spans="1:11" ht="31.95" customHeight="1" x14ac:dyDescent="0.3">
      <c r="A51" s="121">
        <v>47</v>
      </c>
      <c r="B51" s="122" t="s">
        <v>2499</v>
      </c>
      <c r="C51" s="122" t="s">
        <v>2464</v>
      </c>
      <c r="D51" s="135" t="s">
        <v>2021</v>
      </c>
      <c r="E51" s="124" t="s">
        <v>2500</v>
      </c>
      <c r="F51" s="124" t="s">
        <v>2501</v>
      </c>
      <c r="G51" s="125">
        <v>0</v>
      </c>
      <c r="H51" s="126" t="s">
        <v>2086</v>
      </c>
      <c r="I51" s="124"/>
      <c r="J51" s="122" t="s">
        <v>2466</v>
      </c>
      <c r="K51" s="127" t="s">
        <v>2111</v>
      </c>
    </row>
    <row r="52" spans="1:11" ht="31.95" customHeight="1" x14ac:dyDescent="0.3">
      <c r="A52" s="128">
        <v>48</v>
      </c>
      <c r="B52" s="129" t="s">
        <v>2502</v>
      </c>
      <c r="C52" s="129" t="s">
        <v>2464</v>
      </c>
      <c r="D52" s="135" t="s">
        <v>2021</v>
      </c>
      <c r="E52" s="131" t="s">
        <v>2503</v>
      </c>
      <c r="F52" s="131" t="s">
        <v>2504</v>
      </c>
      <c r="G52" s="125">
        <v>0</v>
      </c>
      <c r="H52" s="132" t="s">
        <v>2086</v>
      </c>
      <c r="I52" s="131"/>
      <c r="J52" s="129" t="s">
        <v>2466</v>
      </c>
      <c r="K52" s="133" t="s">
        <v>2111</v>
      </c>
    </row>
    <row r="53" spans="1:11" ht="31.95" customHeight="1" x14ac:dyDescent="0.3">
      <c r="A53" s="121">
        <v>49</v>
      </c>
      <c r="B53" s="122" t="s">
        <v>413</v>
      </c>
      <c r="C53" s="122" t="s">
        <v>414</v>
      </c>
      <c r="D53" s="123" t="s">
        <v>2018</v>
      </c>
      <c r="E53" s="124" t="s">
        <v>415</v>
      </c>
      <c r="F53" s="124" t="s">
        <v>2505</v>
      </c>
      <c r="G53" s="125">
        <v>0</v>
      </c>
      <c r="H53" s="126" t="s">
        <v>2086</v>
      </c>
      <c r="I53" s="124"/>
      <c r="J53" s="122" t="s">
        <v>2506</v>
      </c>
      <c r="K53" s="127" t="s">
        <v>2116</v>
      </c>
    </row>
    <row r="54" spans="1:11" ht="31.95" customHeight="1" x14ac:dyDescent="0.3">
      <c r="A54" s="128">
        <v>50</v>
      </c>
      <c r="B54" s="129" t="s">
        <v>417</v>
      </c>
      <c r="C54" s="129" t="s">
        <v>414</v>
      </c>
      <c r="D54" s="130" t="s">
        <v>2019</v>
      </c>
      <c r="E54" s="131" t="s">
        <v>418</v>
      </c>
      <c r="F54" s="131" t="s">
        <v>2507</v>
      </c>
      <c r="G54" s="125">
        <v>0</v>
      </c>
      <c r="H54" s="132" t="s">
        <v>2086</v>
      </c>
      <c r="I54" s="131"/>
      <c r="J54" s="129" t="s">
        <v>2508</v>
      </c>
      <c r="K54" s="133" t="s">
        <v>2116</v>
      </c>
    </row>
    <row r="55" spans="1:11" ht="31.95" customHeight="1" x14ac:dyDescent="0.3">
      <c r="A55" s="121">
        <v>51</v>
      </c>
      <c r="B55" s="122" t="s">
        <v>420</v>
      </c>
      <c r="C55" s="122" t="s">
        <v>414</v>
      </c>
      <c r="D55" s="130" t="s">
        <v>2019</v>
      </c>
      <c r="E55" s="124" t="s">
        <v>649</v>
      </c>
      <c r="F55" s="124" t="s">
        <v>2509</v>
      </c>
      <c r="G55" s="125">
        <v>0</v>
      </c>
      <c r="H55" s="126" t="s">
        <v>2086</v>
      </c>
      <c r="I55" s="124"/>
      <c r="J55" s="122" t="s">
        <v>2510</v>
      </c>
      <c r="K55" s="127" t="s">
        <v>2116</v>
      </c>
    </row>
    <row r="56" spans="1:11" ht="31.95" customHeight="1" x14ac:dyDescent="0.3">
      <c r="A56" s="128">
        <v>52</v>
      </c>
      <c r="B56" s="129" t="s">
        <v>423</v>
      </c>
      <c r="C56" s="129" t="s">
        <v>414</v>
      </c>
      <c r="D56" s="130" t="s">
        <v>2019</v>
      </c>
      <c r="E56" s="131" t="s">
        <v>652</v>
      </c>
      <c r="F56" s="131" t="s">
        <v>2511</v>
      </c>
      <c r="G56" s="125">
        <v>0</v>
      </c>
      <c r="H56" s="132" t="s">
        <v>2086</v>
      </c>
      <c r="I56" s="131"/>
      <c r="J56" s="129" t="s">
        <v>2512</v>
      </c>
      <c r="K56" s="133" t="s">
        <v>2116</v>
      </c>
    </row>
    <row r="57" spans="1:11" ht="31.95" customHeight="1" x14ac:dyDescent="0.3">
      <c r="A57" s="121">
        <v>53</v>
      </c>
      <c r="B57" s="122" t="s">
        <v>425</v>
      </c>
      <c r="C57" s="122" t="s">
        <v>414</v>
      </c>
      <c r="D57" s="134" t="s">
        <v>2020</v>
      </c>
      <c r="E57" s="124" t="s">
        <v>655</v>
      </c>
      <c r="F57" s="124" t="s">
        <v>2513</v>
      </c>
      <c r="G57" s="125">
        <v>0</v>
      </c>
      <c r="H57" s="126" t="s">
        <v>2086</v>
      </c>
      <c r="I57" s="124"/>
      <c r="J57" s="122" t="s">
        <v>2282</v>
      </c>
      <c r="K57" s="127" t="s">
        <v>2116</v>
      </c>
    </row>
    <row r="58" spans="1:11" ht="31.95" customHeight="1" x14ac:dyDescent="0.3">
      <c r="A58" s="128">
        <v>54</v>
      </c>
      <c r="B58" s="129" t="s">
        <v>428</v>
      </c>
      <c r="C58" s="129" t="s">
        <v>414</v>
      </c>
      <c r="D58" s="134" t="s">
        <v>2020</v>
      </c>
      <c r="E58" s="131" t="s">
        <v>658</v>
      </c>
      <c r="F58" s="131" t="s">
        <v>2514</v>
      </c>
      <c r="G58" s="125">
        <v>0</v>
      </c>
      <c r="H58" s="132" t="s">
        <v>2086</v>
      </c>
      <c r="I58" s="131"/>
      <c r="J58" s="129" t="s">
        <v>2515</v>
      </c>
      <c r="K58" s="133" t="s">
        <v>2116</v>
      </c>
    </row>
    <row r="59" spans="1:11" ht="31.95" customHeight="1" x14ac:dyDescent="0.3">
      <c r="A59" s="121">
        <v>55</v>
      </c>
      <c r="B59" s="122" t="s">
        <v>431</v>
      </c>
      <c r="C59" s="122" t="s">
        <v>414</v>
      </c>
      <c r="D59" s="134" t="s">
        <v>2020</v>
      </c>
      <c r="E59" s="124" t="s">
        <v>2516</v>
      </c>
      <c r="F59" s="124" t="s">
        <v>2517</v>
      </c>
      <c r="G59" s="125">
        <v>0</v>
      </c>
      <c r="H59" s="126" t="s">
        <v>2086</v>
      </c>
      <c r="I59" s="124"/>
      <c r="J59" s="122" t="s">
        <v>2518</v>
      </c>
      <c r="K59" s="127" t="s">
        <v>2116</v>
      </c>
    </row>
    <row r="60" spans="1:11" ht="31.95" customHeight="1" x14ac:dyDescent="0.3">
      <c r="A60" s="128">
        <v>56</v>
      </c>
      <c r="B60" s="129" t="s">
        <v>436</v>
      </c>
      <c r="C60" s="129" t="s">
        <v>437</v>
      </c>
      <c r="D60" s="130" t="s">
        <v>2019</v>
      </c>
      <c r="E60" s="131" t="s">
        <v>2519</v>
      </c>
      <c r="F60" s="131" t="s">
        <v>2520</v>
      </c>
      <c r="G60" s="125">
        <v>0</v>
      </c>
      <c r="H60" s="132" t="s">
        <v>2086</v>
      </c>
      <c r="I60" s="131"/>
      <c r="J60" s="129" t="s">
        <v>2521</v>
      </c>
      <c r="K60" s="133" t="s">
        <v>2088</v>
      </c>
    </row>
    <row r="61" spans="1:11" ht="31.95" customHeight="1" x14ac:dyDescent="0.3">
      <c r="A61" s="121">
        <v>57</v>
      </c>
      <c r="B61" s="122" t="s">
        <v>440</v>
      </c>
      <c r="C61" s="122" t="s">
        <v>437</v>
      </c>
      <c r="D61" s="134" t="s">
        <v>2020</v>
      </c>
      <c r="E61" s="124" t="s">
        <v>668</v>
      </c>
      <c r="F61" s="124" t="s">
        <v>2522</v>
      </c>
      <c r="G61" s="125">
        <v>0</v>
      </c>
      <c r="H61" s="126" t="s">
        <v>2086</v>
      </c>
      <c r="I61" s="124"/>
      <c r="J61" s="122" t="s">
        <v>2523</v>
      </c>
      <c r="K61" s="127" t="s">
        <v>2088</v>
      </c>
    </row>
    <row r="62" spans="1:11" ht="31.95" customHeight="1" x14ac:dyDescent="0.3">
      <c r="A62" s="128">
        <v>58</v>
      </c>
      <c r="B62" s="129" t="s">
        <v>443</v>
      </c>
      <c r="C62" s="129" t="s">
        <v>437</v>
      </c>
      <c r="D62" s="134" t="s">
        <v>2020</v>
      </c>
      <c r="E62" s="131" t="s">
        <v>671</v>
      </c>
      <c r="F62" s="131" t="s">
        <v>2524</v>
      </c>
      <c r="G62" s="125">
        <v>0</v>
      </c>
      <c r="H62" s="132" t="s">
        <v>2086</v>
      </c>
      <c r="I62" s="131"/>
      <c r="J62" s="129" t="s">
        <v>2525</v>
      </c>
      <c r="K62" s="133" t="s">
        <v>2088</v>
      </c>
    </row>
    <row r="63" spans="1:11" ht="31.95" customHeight="1" x14ac:dyDescent="0.3">
      <c r="A63" s="121">
        <v>59</v>
      </c>
      <c r="B63" s="122" t="s">
        <v>446</v>
      </c>
      <c r="C63" s="122" t="s">
        <v>437</v>
      </c>
      <c r="D63" s="134" t="s">
        <v>2020</v>
      </c>
      <c r="E63" s="124" t="s">
        <v>674</v>
      </c>
      <c r="F63" s="124" t="s">
        <v>2526</v>
      </c>
      <c r="G63" s="125">
        <v>0</v>
      </c>
      <c r="H63" s="126" t="s">
        <v>2086</v>
      </c>
      <c r="I63" s="124"/>
      <c r="J63" s="122" t="s">
        <v>2527</v>
      </c>
      <c r="K63" s="127" t="s">
        <v>2088</v>
      </c>
    </row>
    <row r="64" spans="1:11" ht="31.95" customHeight="1" x14ac:dyDescent="0.3">
      <c r="A64" s="128">
        <v>60</v>
      </c>
      <c r="B64" s="129" t="s">
        <v>449</v>
      </c>
      <c r="C64" s="129" t="s">
        <v>437</v>
      </c>
      <c r="D64" s="130" t="s">
        <v>2019</v>
      </c>
      <c r="E64" s="131" t="s">
        <v>677</v>
      </c>
      <c r="F64" s="131" t="s">
        <v>2528</v>
      </c>
      <c r="G64" s="125">
        <v>0</v>
      </c>
      <c r="H64" s="132" t="s">
        <v>2086</v>
      </c>
      <c r="I64" s="131"/>
      <c r="J64" s="129" t="s">
        <v>2529</v>
      </c>
      <c r="K64" s="133" t="s">
        <v>2088</v>
      </c>
    </row>
    <row r="65" spans="1:11" ht="31.95" customHeight="1" x14ac:dyDescent="0.3">
      <c r="A65" s="121">
        <v>61</v>
      </c>
      <c r="B65" s="122" t="s">
        <v>452</v>
      </c>
      <c r="C65" s="122" t="s">
        <v>437</v>
      </c>
      <c r="D65" s="130" t="s">
        <v>2019</v>
      </c>
      <c r="E65" s="124" t="s">
        <v>680</v>
      </c>
      <c r="F65" s="124" t="s">
        <v>2530</v>
      </c>
      <c r="G65" s="125">
        <v>0</v>
      </c>
      <c r="H65" s="126" t="s">
        <v>2086</v>
      </c>
      <c r="I65" s="124"/>
      <c r="J65" s="122" t="s">
        <v>2531</v>
      </c>
      <c r="K65" s="127" t="s">
        <v>2088</v>
      </c>
    </row>
    <row r="66" spans="1:11" ht="31.95" customHeight="1" x14ac:dyDescent="0.3">
      <c r="A66" s="128">
        <v>62</v>
      </c>
      <c r="B66" s="129" t="s">
        <v>455</v>
      </c>
      <c r="C66" s="129" t="s">
        <v>437</v>
      </c>
      <c r="D66" s="134" t="s">
        <v>2020</v>
      </c>
      <c r="E66" s="131" t="s">
        <v>683</v>
      </c>
      <c r="F66" s="131" t="s">
        <v>2532</v>
      </c>
      <c r="G66" s="125">
        <v>0</v>
      </c>
      <c r="H66" s="132" t="s">
        <v>2086</v>
      </c>
      <c r="I66" s="131"/>
      <c r="J66" s="129" t="s">
        <v>2533</v>
      </c>
      <c r="K66" s="133" t="s">
        <v>2088</v>
      </c>
    </row>
    <row r="67" spans="1:11" ht="31.95" customHeight="1" x14ac:dyDescent="0.3">
      <c r="A67" s="121">
        <v>63</v>
      </c>
      <c r="B67" s="122" t="s">
        <v>459</v>
      </c>
      <c r="C67" s="122" t="s">
        <v>437</v>
      </c>
      <c r="D67" s="134" t="s">
        <v>2020</v>
      </c>
      <c r="E67" s="124" t="s">
        <v>2534</v>
      </c>
      <c r="F67" s="124" t="s">
        <v>2535</v>
      </c>
      <c r="G67" s="125">
        <v>0</v>
      </c>
      <c r="H67" s="126" t="s">
        <v>2086</v>
      </c>
      <c r="I67" s="124"/>
      <c r="J67" s="122" t="s">
        <v>2536</v>
      </c>
      <c r="K67" s="127" t="s">
        <v>2088</v>
      </c>
    </row>
    <row r="68" spans="1:11" ht="31.95" customHeight="1" x14ac:dyDescent="0.3">
      <c r="A68" s="128">
        <v>64</v>
      </c>
      <c r="B68" s="129" t="s">
        <v>463</v>
      </c>
      <c r="C68" s="129" t="s">
        <v>464</v>
      </c>
      <c r="D68" s="130" t="s">
        <v>2019</v>
      </c>
      <c r="E68" s="131" t="s">
        <v>690</v>
      </c>
      <c r="F68" s="131" t="s">
        <v>2537</v>
      </c>
      <c r="G68" s="125">
        <v>0</v>
      </c>
      <c r="H68" s="132" t="s">
        <v>2086</v>
      </c>
      <c r="I68" s="131"/>
      <c r="J68" s="129" t="s">
        <v>2538</v>
      </c>
      <c r="K68" s="133" t="s">
        <v>2088</v>
      </c>
    </row>
    <row r="69" spans="1:11" ht="31.95" customHeight="1" x14ac:dyDescent="0.3">
      <c r="A69" s="121">
        <v>65</v>
      </c>
      <c r="B69" s="122" t="s">
        <v>467</v>
      </c>
      <c r="C69" s="122" t="s">
        <v>464</v>
      </c>
      <c r="D69" s="134" t="s">
        <v>2020</v>
      </c>
      <c r="E69" s="124" t="s">
        <v>693</v>
      </c>
      <c r="F69" s="124" t="s">
        <v>2539</v>
      </c>
      <c r="G69" s="125">
        <v>0</v>
      </c>
      <c r="H69" s="126" t="s">
        <v>2086</v>
      </c>
      <c r="I69" s="124"/>
      <c r="J69" s="122" t="s">
        <v>2268</v>
      </c>
      <c r="K69" s="127" t="s">
        <v>2088</v>
      </c>
    </row>
    <row r="70" spans="1:11" ht="31.95" customHeight="1" x14ac:dyDescent="0.3">
      <c r="A70" s="128">
        <v>66</v>
      </c>
      <c r="B70" s="129" t="s">
        <v>471</v>
      </c>
      <c r="C70" s="129" t="s">
        <v>472</v>
      </c>
      <c r="D70" s="135" t="s">
        <v>2021</v>
      </c>
      <c r="E70" s="131" t="s">
        <v>473</v>
      </c>
      <c r="F70" s="131" t="s">
        <v>2540</v>
      </c>
      <c r="G70" s="125">
        <v>0</v>
      </c>
      <c r="H70" s="132" t="s">
        <v>2086</v>
      </c>
      <c r="I70" s="131"/>
      <c r="J70" s="129" t="s">
        <v>2541</v>
      </c>
      <c r="K70" s="133" t="s">
        <v>2088</v>
      </c>
    </row>
    <row r="71" spans="1:11" ht="31.95" customHeight="1" x14ac:dyDescent="0.3">
      <c r="A71" s="121">
        <v>67</v>
      </c>
      <c r="B71" s="122" t="s">
        <v>475</v>
      </c>
      <c r="C71" s="122" t="s">
        <v>472</v>
      </c>
      <c r="D71" s="135" t="s">
        <v>2021</v>
      </c>
      <c r="E71" s="124" t="s">
        <v>699</v>
      </c>
      <c r="F71" s="124" t="s">
        <v>2542</v>
      </c>
      <c r="G71" s="125">
        <v>0</v>
      </c>
      <c r="H71" s="126" t="s">
        <v>2086</v>
      </c>
      <c r="I71" s="124"/>
      <c r="J71" s="122" t="s">
        <v>2541</v>
      </c>
      <c r="K71" s="127" t="s">
        <v>2088</v>
      </c>
    </row>
    <row r="72" spans="1:11" ht="31.95" customHeight="1" x14ac:dyDescent="0.3">
      <c r="A72" s="128">
        <v>68</v>
      </c>
      <c r="B72" s="129" t="s">
        <v>478</v>
      </c>
      <c r="C72" s="129" t="s">
        <v>472</v>
      </c>
      <c r="D72" s="135" t="s">
        <v>2021</v>
      </c>
      <c r="E72" s="131" t="s">
        <v>701</v>
      </c>
      <c r="F72" s="131" t="s">
        <v>2543</v>
      </c>
      <c r="G72" s="125">
        <v>0</v>
      </c>
      <c r="H72" s="132" t="s">
        <v>2086</v>
      </c>
      <c r="I72" s="131"/>
      <c r="J72" s="129" t="s">
        <v>2541</v>
      </c>
      <c r="K72" s="133" t="s">
        <v>2088</v>
      </c>
    </row>
    <row r="73" spans="1:11" ht="31.95" customHeight="1" x14ac:dyDescent="0.3">
      <c r="A73" s="121">
        <v>69</v>
      </c>
      <c r="B73" s="122" t="s">
        <v>2544</v>
      </c>
      <c r="C73" s="122" t="s">
        <v>472</v>
      </c>
      <c r="D73" s="135" t="s">
        <v>2021</v>
      </c>
      <c r="E73" s="124" t="s">
        <v>703</v>
      </c>
      <c r="F73" s="124" t="s">
        <v>2545</v>
      </c>
      <c r="G73" s="125">
        <v>0</v>
      </c>
      <c r="H73" s="126" t="s">
        <v>2086</v>
      </c>
      <c r="I73" s="124"/>
      <c r="J73" s="122" t="s">
        <v>2541</v>
      </c>
      <c r="K73" s="127" t="s">
        <v>2088</v>
      </c>
    </row>
    <row r="74" spans="1:11" ht="31.95" customHeight="1" x14ac:dyDescent="0.3">
      <c r="A74" s="128">
        <v>70</v>
      </c>
      <c r="B74" s="129" t="s">
        <v>2546</v>
      </c>
      <c r="C74" s="129" t="s">
        <v>472</v>
      </c>
      <c r="D74" s="135" t="s">
        <v>2021</v>
      </c>
      <c r="E74" s="131" t="s">
        <v>705</v>
      </c>
      <c r="F74" s="131" t="s">
        <v>2547</v>
      </c>
      <c r="G74" s="125">
        <v>0</v>
      </c>
      <c r="H74" s="132" t="s">
        <v>2086</v>
      </c>
      <c r="I74" s="131"/>
      <c r="J74" s="129" t="s">
        <v>2541</v>
      </c>
      <c r="K74" s="133" t="s">
        <v>2088</v>
      </c>
    </row>
    <row r="75" spans="1:11" ht="31.95" customHeight="1" x14ac:dyDescent="0.3">
      <c r="A75" s="121">
        <v>71</v>
      </c>
      <c r="B75" s="122" t="s">
        <v>2548</v>
      </c>
      <c r="C75" s="122" t="s">
        <v>472</v>
      </c>
      <c r="D75" s="135" t="s">
        <v>2021</v>
      </c>
      <c r="E75" s="124" t="s">
        <v>337</v>
      </c>
      <c r="F75" s="124" t="s">
        <v>2549</v>
      </c>
      <c r="G75" s="125">
        <v>0</v>
      </c>
      <c r="H75" s="126" t="s">
        <v>2086</v>
      </c>
      <c r="I75" s="124"/>
      <c r="J75" s="122" t="s">
        <v>2541</v>
      </c>
      <c r="K75" s="127" t="s">
        <v>2088</v>
      </c>
    </row>
    <row r="76" spans="1:11" ht="31.95" customHeight="1" x14ac:dyDescent="0.3">
      <c r="A76" s="128">
        <v>72</v>
      </c>
      <c r="B76" s="129" t="s">
        <v>2550</v>
      </c>
      <c r="C76" s="129" t="s">
        <v>472</v>
      </c>
      <c r="D76" s="135" t="s">
        <v>2021</v>
      </c>
      <c r="E76" s="131" t="s">
        <v>708</v>
      </c>
      <c r="F76" s="131" t="s">
        <v>2551</v>
      </c>
      <c r="G76" s="125">
        <v>0</v>
      </c>
      <c r="H76" s="132" t="s">
        <v>2086</v>
      </c>
      <c r="I76" s="131"/>
      <c r="J76" s="129" t="s">
        <v>2541</v>
      </c>
      <c r="K76" s="133" t="s">
        <v>2088</v>
      </c>
    </row>
    <row r="77" spans="1:11" ht="31.95" customHeight="1" thickBot="1" x14ac:dyDescent="0.35">
      <c r="A77" s="136">
        <v>73</v>
      </c>
      <c r="B77" s="137" t="s">
        <v>482</v>
      </c>
      <c r="C77" s="137" t="s">
        <v>483</v>
      </c>
      <c r="D77" s="138" t="s">
        <v>2018</v>
      </c>
      <c r="E77" s="139" t="s">
        <v>711</v>
      </c>
      <c r="F77" s="139" t="s">
        <v>2552</v>
      </c>
      <c r="G77" s="140">
        <v>0</v>
      </c>
      <c r="H77" s="141" t="s">
        <v>2086</v>
      </c>
      <c r="I77" s="139"/>
      <c r="J77" s="137" t="s">
        <v>2553</v>
      </c>
      <c r="K77" s="142" t="s">
        <v>2093</v>
      </c>
    </row>
    <row r="79" spans="1:11" ht="18" x14ac:dyDescent="0.35">
      <c r="A79" s="143" t="s">
        <v>2391</v>
      </c>
      <c r="B79" s="143"/>
      <c r="C79" s="143"/>
      <c r="D79" s="143"/>
      <c r="E79" s="143"/>
      <c r="F79" s="143"/>
      <c r="G79" s="143"/>
      <c r="H79" s="143"/>
      <c r="I79" s="143"/>
      <c r="J79" s="143"/>
      <c r="K79" s="143"/>
    </row>
    <row r="80" spans="1:11" ht="15" thickBot="1" x14ac:dyDescent="0.35"/>
    <row r="81" spans="2:9" x14ac:dyDescent="0.3">
      <c r="B81" s="144" t="s">
        <v>2392</v>
      </c>
      <c r="C81" s="81"/>
      <c r="D81" s="81"/>
      <c r="E81" s="81"/>
      <c r="F81" s="81"/>
      <c r="G81" s="118" t="s">
        <v>2393</v>
      </c>
      <c r="H81" s="118" t="s">
        <v>2394</v>
      </c>
      <c r="I81" s="120" t="s">
        <v>514</v>
      </c>
    </row>
    <row r="82" spans="2:9" x14ac:dyDescent="0.3">
      <c r="B82" s="145" t="s">
        <v>2395</v>
      </c>
      <c r="C82" s="71"/>
      <c r="D82" s="71"/>
      <c r="E82" s="71"/>
      <c r="F82" s="71"/>
      <c r="G82" s="146">
        <f>SUM(G5:G77)</f>
        <v>0</v>
      </c>
      <c r="H82" s="147">
        <f>COUNTA(A5:A77)*4</f>
        <v>292</v>
      </c>
      <c r="I82" s="148">
        <f>IF(H82=0,0,G82/H82)</f>
        <v>0</v>
      </c>
    </row>
    <row r="83" spans="2:9" x14ac:dyDescent="0.3">
      <c r="B83" s="149" t="s">
        <v>2396</v>
      </c>
      <c r="C83" s="71"/>
      <c r="D83" s="71"/>
      <c r="E83" s="71"/>
      <c r="F83" s="71"/>
      <c r="G83" s="150" cm="1">
        <f t="array" ref="G83">SUMPRODUCT((D5:D77="Critical")*G5:G77)</f>
        <v>0</v>
      </c>
      <c r="H83" s="147">
        <f>COUNTIF(D5:D77,"Critical")*4</f>
        <v>28</v>
      </c>
      <c r="I83" s="148">
        <f>IF(H83=0,0,G83/H83)</f>
        <v>0</v>
      </c>
    </row>
    <row r="84" spans="2:9" x14ac:dyDescent="0.3">
      <c r="B84" s="151" t="s">
        <v>2397</v>
      </c>
      <c r="C84" s="71"/>
      <c r="D84" s="71"/>
      <c r="E84" s="71"/>
      <c r="F84" s="71"/>
      <c r="G84" s="152" cm="1">
        <f t="array" ref="G84">SUMPRODUCT((D5:D77="High")*G5:G77)</f>
        <v>0</v>
      </c>
      <c r="H84" s="147">
        <f>COUNTIF(D5:D77,"High")*4</f>
        <v>88</v>
      </c>
      <c r="I84" s="148">
        <f>IF(H84=0,0,G84/H84)</f>
        <v>0</v>
      </c>
    </row>
    <row r="85" spans="2:9" x14ac:dyDescent="0.3">
      <c r="B85" s="153" t="s">
        <v>2398</v>
      </c>
      <c r="C85" s="71"/>
      <c r="D85" s="71"/>
      <c r="E85" s="71"/>
      <c r="F85" s="71"/>
      <c r="G85" s="154" cm="1">
        <f t="array" ref="G85">SUMPRODUCT((D5:D77="Medium")*G5:G77)</f>
        <v>0</v>
      </c>
      <c r="H85" s="147">
        <f>COUNTIF(D5:D77,"Medium")*4</f>
        <v>80</v>
      </c>
      <c r="I85" s="148">
        <f>IF(H85=0,0,G85/H85)</f>
        <v>0</v>
      </c>
    </row>
    <row r="86" spans="2:9" ht="15" thickBot="1" x14ac:dyDescent="0.35">
      <c r="B86" s="155" t="s">
        <v>2399</v>
      </c>
      <c r="C86" s="76"/>
      <c r="D86" s="76"/>
      <c r="E86" s="76"/>
      <c r="F86" s="76"/>
      <c r="G86" s="156" cm="1">
        <f t="array" ref="G86">SUMPRODUCT((D5:D77="Low")*G5:G77)</f>
        <v>0</v>
      </c>
      <c r="H86" s="157">
        <f>COUNTIF(D5:D77,"Low")*4</f>
        <v>96</v>
      </c>
      <c r="I86" s="158">
        <f>IF(H86=0,0,G86/H86)</f>
        <v>0</v>
      </c>
    </row>
    <row r="88" spans="2:9" ht="15" thickBot="1" x14ac:dyDescent="0.35"/>
    <row r="89" spans="2:9" x14ac:dyDescent="0.3">
      <c r="B89" s="144" t="s">
        <v>2400</v>
      </c>
      <c r="C89" s="81"/>
      <c r="D89" s="81"/>
      <c r="E89" s="81"/>
      <c r="F89" s="81"/>
      <c r="G89" s="118" t="s">
        <v>2401</v>
      </c>
      <c r="H89" s="118" t="s">
        <v>2402</v>
      </c>
      <c r="I89" s="120" t="s">
        <v>2403</v>
      </c>
    </row>
    <row r="90" spans="2:9" x14ac:dyDescent="0.3">
      <c r="B90" s="164" t="s">
        <v>292</v>
      </c>
      <c r="C90" s="165"/>
      <c r="D90" s="165"/>
      <c r="E90" s="165"/>
      <c r="F90" s="165"/>
      <c r="G90" s="166">
        <f>IFERROR(AVERAGEIF(C5:C77,"Consent &amp; Notice",G5:G77),0)</f>
        <v>0</v>
      </c>
      <c r="H90" s="126">
        <f>COUNTIF(C5:C77,"Consent &amp; Notice")</f>
        <v>5</v>
      </c>
      <c r="I90" s="127">
        <f>COUNTIFS(C5:C77,"Consent &amp; Notice",H5:H77,"Yes")</f>
        <v>0</v>
      </c>
    </row>
    <row r="91" spans="2:9" x14ac:dyDescent="0.3">
      <c r="B91" s="145" t="s">
        <v>316</v>
      </c>
      <c r="C91" s="71"/>
      <c r="D91" s="71"/>
      <c r="E91" s="71"/>
      <c r="F91" s="71"/>
      <c r="G91" s="159">
        <f>IFERROR(AVERAGEIF(C5:C77,"Consent Manager",G5:G77),0)</f>
        <v>0</v>
      </c>
      <c r="H91" s="147">
        <f>COUNTIF(C5:C77,"Consent Manager")</f>
        <v>6</v>
      </c>
      <c r="I91" s="160">
        <f>COUNTIFS(C5:C77,"Consent Manager",H5:H77,"Yes")</f>
        <v>0</v>
      </c>
    </row>
    <row r="92" spans="2:9" x14ac:dyDescent="0.3">
      <c r="B92" s="164" t="s">
        <v>337</v>
      </c>
      <c r="C92" s="165"/>
      <c r="D92" s="165"/>
      <c r="E92" s="165"/>
      <c r="F92" s="165"/>
      <c r="G92" s="166">
        <f>IFERROR(AVERAGEIF(C5:C77,"Security Safeguards",G5:G77),0)</f>
        <v>0</v>
      </c>
      <c r="H92" s="126">
        <f>COUNTIF(C5:C77,"Security Safeguards")</f>
        <v>7</v>
      </c>
      <c r="I92" s="127">
        <f>COUNTIFS(C5:C77,"Security Safeguards",H5:H77,"Yes")</f>
        <v>0</v>
      </c>
    </row>
    <row r="93" spans="2:9" x14ac:dyDescent="0.3">
      <c r="B93" s="145" t="s">
        <v>357</v>
      </c>
      <c r="C93" s="71"/>
      <c r="D93" s="71"/>
      <c r="E93" s="71"/>
      <c r="F93" s="71"/>
      <c r="G93" s="159">
        <f>IFERROR(AVERAGEIF(C5:C77,"Breach Notification",G5:G77),0)</f>
        <v>0</v>
      </c>
      <c r="H93" s="147">
        <f>COUNTIF(C5:C77,"Breach Notification")</f>
        <v>7</v>
      </c>
      <c r="I93" s="160">
        <f>COUNTIFS(C5:C77,"Breach Notification",H5:H77,"Yes")</f>
        <v>0</v>
      </c>
    </row>
    <row r="94" spans="2:9" x14ac:dyDescent="0.3">
      <c r="B94" s="164" t="s">
        <v>380</v>
      </c>
      <c r="C94" s="165"/>
      <c r="D94" s="165"/>
      <c r="E94" s="165"/>
      <c r="F94" s="165"/>
      <c r="G94" s="166">
        <f>IFERROR(AVERAGEIF(C5:C77,"Retention &amp; Erasure",G5:G77),0)</f>
        <v>0</v>
      </c>
      <c r="H94" s="126">
        <f>COUNTIF(C5:C77,"Retention &amp; Erasure")</f>
        <v>5</v>
      </c>
      <c r="I94" s="127">
        <f>COUNTIFS(C5:C77,"Retention &amp; Erasure",H5:H77,"Yes")</f>
        <v>0</v>
      </c>
    </row>
    <row r="95" spans="2:9" x14ac:dyDescent="0.3">
      <c r="B95" s="145" t="s">
        <v>2464</v>
      </c>
      <c r="C95" s="71"/>
      <c r="D95" s="71"/>
      <c r="E95" s="71"/>
      <c r="F95" s="71"/>
      <c r="G95" s="159">
        <f>IFERROR(AVERAGEIF(C5:C77,"Children &amp; Exemptions",G5:G77),0)</f>
        <v>0</v>
      </c>
      <c r="H95" s="147">
        <f>COUNTIF(C5:C77,"Children &amp; Exemptions")</f>
        <v>16</v>
      </c>
      <c r="I95" s="160">
        <f>COUNTIFS(C5:C77,"Children &amp; Exemptions",H5:H77,"Yes")</f>
        <v>0</v>
      </c>
    </row>
    <row r="96" spans="2:9" x14ac:dyDescent="0.3">
      <c r="B96" s="164" t="s">
        <v>414</v>
      </c>
      <c r="C96" s="165"/>
      <c r="D96" s="165"/>
      <c r="E96" s="165"/>
      <c r="F96" s="165"/>
      <c r="G96" s="166">
        <f>IFERROR(AVERAGEIF(C5:C77,"SDF Obligations",G5:G77),0)</f>
        <v>0</v>
      </c>
      <c r="H96" s="126">
        <f>COUNTIF(C5:C77,"SDF Obligations")</f>
        <v>7</v>
      </c>
      <c r="I96" s="127">
        <f>COUNTIFS(C5:C77,"SDF Obligations",H5:H77,"Yes")</f>
        <v>0</v>
      </c>
    </row>
    <row r="97" spans="2:9" x14ac:dyDescent="0.3">
      <c r="B97" s="145" t="s">
        <v>437</v>
      </c>
      <c r="C97" s="71"/>
      <c r="D97" s="71"/>
      <c r="E97" s="71"/>
      <c r="F97" s="71"/>
      <c r="G97" s="159">
        <f>IFERROR(AVERAGEIF(C5:C77,"Data Principal Rights",G5:G77),0)</f>
        <v>0</v>
      </c>
      <c r="H97" s="147">
        <f>COUNTIF(C5:C77,"Data Principal Rights")</f>
        <v>8</v>
      </c>
      <c r="I97" s="160">
        <f>COUNTIFS(C5:C77,"Data Principal Rights",H5:H77,"Yes")</f>
        <v>0</v>
      </c>
    </row>
    <row r="98" spans="2:9" x14ac:dyDescent="0.3">
      <c r="B98" s="164" t="s">
        <v>464</v>
      </c>
      <c r="C98" s="165"/>
      <c r="D98" s="165"/>
      <c r="E98" s="165"/>
      <c r="F98" s="165"/>
      <c r="G98" s="166">
        <f>IFERROR(AVERAGEIF(C5:C77,"Cross-Border Transfer",G5:G77),0)</f>
        <v>0</v>
      </c>
      <c r="H98" s="126">
        <f>COUNTIF(C5:C77,"Cross-Border Transfer")</f>
        <v>2</v>
      </c>
      <c r="I98" s="127">
        <f>COUNTIFS(C5:C77,"Cross-Border Transfer",H5:H77,"Yes")</f>
        <v>0</v>
      </c>
    </row>
    <row r="99" spans="2:9" x14ac:dyDescent="0.3">
      <c r="B99" s="145" t="s">
        <v>472</v>
      </c>
      <c r="C99" s="71"/>
      <c r="D99" s="71"/>
      <c r="E99" s="71"/>
      <c r="F99" s="71"/>
      <c r="G99" s="159">
        <f>IFERROR(AVERAGEIF(C5:C77,"Research &amp; Archiving",G5:G77),0)</f>
        <v>0</v>
      </c>
      <c r="H99" s="147">
        <f>COUNTIF(C5:C77,"Research &amp; Archiving")</f>
        <v>7</v>
      </c>
      <c r="I99" s="160">
        <f>COUNTIFS(C5:C77,"Research &amp; Archiving",H5:H77,"Yes")</f>
        <v>0</v>
      </c>
    </row>
    <row r="100" spans="2:9" x14ac:dyDescent="0.3">
      <c r="B100" s="164" t="s">
        <v>488</v>
      </c>
      <c r="C100" s="165"/>
      <c r="D100" s="165"/>
      <c r="E100" s="165"/>
      <c r="F100" s="165"/>
      <c r="G100" s="166">
        <f>IFERROR(AVERAGEIF(C5:C77,"Contact &amp; Publication",G5:G77),0)</f>
        <v>0</v>
      </c>
      <c r="H100" s="126">
        <f>COUNTIF(C5:C77,"Contact &amp; Publication")</f>
        <v>2</v>
      </c>
      <c r="I100" s="127">
        <f>COUNTIFS(C5:C77,"Contact &amp; Publication",H5:H77,"Yes")</f>
        <v>0</v>
      </c>
    </row>
    <row r="101" spans="2:9" ht="15" thickBot="1" x14ac:dyDescent="0.35">
      <c r="B101" s="161" t="s">
        <v>483</v>
      </c>
      <c r="C101" s="76"/>
      <c r="D101" s="76"/>
      <c r="E101" s="76"/>
      <c r="F101" s="76"/>
      <c r="G101" s="162">
        <f>IFERROR(AVERAGEIF(C5:C77,"Govt. Information Requests",G5:G77),0)</f>
        <v>0</v>
      </c>
      <c r="H101" s="157">
        <f>COUNTIF(C5:C77,"Govt. Information Requests")</f>
        <v>1</v>
      </c>
      <c r="I101" s="163">
        <f>COUNTIFS(C5:C77,"Govt. Information Requests",H5:H77,"Yes")</f>
        <v>0</v>
      </c>
    </row>
  </sheetData>
  <mergeCells count="4">
    <mergeCell ref="A1:K1"/>
    <mergeCell ref="A2:K2"/>
    <mergeCell ref="A3:K3"/>
    <mergeCell ref="A79:K79"/>
  </mergeCells>
  <conditionalFormatting sqref="G5:G77">
    <cfRule type="cellIs" dxfId="16" priority="1" operator="equal">
      <formula>0</formula>
    </cfRule>
  </conditionalFormatting>
  <conditionalFormatting sqref="G5:G77">
    <cfRule type="cellIs" dxfId="15" priority="2" operator="equal">
      <formula>1</formula>
    </cfRule>
  </conditionalFormatting>
  <conditionalFormatting sqref="G5:G77">
    <cfRule type="cellIs" dxfId="14" priority="3" operator="equal">
      <formula>2</formula>
    </cfRule>
  </conditionalFormatting>
  <conditionalFormatting sqref="G5:G77">
    <cfRule type="cellIs" dxfId="13" priority="4" operator="equal">
      <formula>3</formula>
    </cfRule>
  </conditionalFormatting>
  <conditionalFormatting sqref="G5:G77">
    <cfRule type="cellIs" dxfId="12" priority="5" operator="equal">
      <formula>4</formula>
    </cfRule>
  </conditionalFormatting>
  <dataValidations count="2">
    <dataValidation type="whole" allowBlank="1" showInputMessage="1" showErrorMessage="1" errorTitle="Invalid" error="Enter 0 to 4" promptTitle="Maturity (0-4)" prompt="0=Not Started, 1=Ad-hoc, 2=Defined, 3=Managed, 4=Optimised" sqref="G5:G77" xr:uid="{797AAF41-5155-4B7D-A15D-2B41FED2AEDA}">
      <formula1>0</formula1>
      <formula2>4</formula2>
    </dataValidation>
    <dataValidation type="list" allowBlank="1" showInputMessage="1" showErrorMessage="1" sqref="H5:H77" xr:uid="{E5EE419A-9943-4BB4-80FA-8B612EBA8354}">
      <formula1>"Yes,No"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7F4D1-AF52-4B8D-A287-E3F0E3A1E014}">
  <sheetPr codeName="Sheet10"/>
  <dimension ref="A1:K102"/>
  <sheetViews>
    <sheetView workbookViewId="0">
      <pane ySplit="3" topLeftCell="A4" activePane="bottomLeft" state="frozen"/>
      <selection pane="bottomLeft" activeCell="A4" sqref="A4"/>
    </sheetView>
  </sheetViews>
  <sheetFormatPr defaultRowHeight="14.4" x14ac:dyDescent="0.3"/>
  <cols>
    <col min="1" max="1" width="6.44140625" customWidth="1"/>
    <col min="2" max="2" width="15.77734375" customWidth="1"/>
    <col min="3" max="3" width="33.33203125" customWidth="1"/>
    <col min="4" max="4" width="12" customWidth="1"/>
    <col min="5" max="5" width="46.33203125" customWidth="1"/>
    <col min="6" max="6" width="74.109375" customWidth="1"/>
    <col min="7" max="8" width="12" customWidth="1"/>
    <col min="9" max="9" width="46.33203125" customWidth="1"/>
    <col min="10" max="10" width="27.77734375" customWidth="1"/>
    <col min="11" max="11" width="14.77734375" customWidth="1"/>
  </cols>
  <sheetData>
    <row r="1" spans="1:11" ht="18" x14ac:dyDescent="0.35">
      <c r="A1" s="64" t="s">
        <v>2071</v>
      </c>
      <c r="B1" s="64"/>
      <c r="C1" s="64"/>
      <c r="D1" s="64"/>
      <c r="E1" s="64"/>
      <c r="F1" s="64"/>
      <c r="G1" s="64"/>
      <c r="H1" s="64"/>
      <c r="I1" s="64"/>
      <c r="J1" s="64"/>
      <c r="K1" s="64"/>
    </row>
    <row r="2" spans="1:11" ht="15" thickBot="1" x14ac:dyDescent="0.35">
      <c r="A2" s="65" t="s">
        <v>2072</v>
      </c>
      <c r="B2" s="65"/>
      <c r="C2" s="65"/>
      <c r="D2" s="65"/>
      <c r="E2" s="65"/>
      <c r="F2" s="65"/>
      <c r="G2" s="65"/>
      <c r="H2" s="65"/>
      <c r="I2" s="65"/>
      <c r="J2" s="65"/>
      <c r="K2" s="65"/>
    </row>
    <row r="3" spans="1:11" ht="27.6" x14ac:dyDescent="0.3">
      <c r="A3" s="66" t="s">
        <v>142</v>
      </c>
      <c r="B3" s="67" t="s">
        <v>273</v>
      </c>
      <c r="C3" s="67" t="s">
        <v>2073</v>
      </c>
      <c r="D3" s="67" t="s">
        <v>2074</v>
      </c>
      <c r="E3" s="67" t="s">
        <v>2075</v>
      </c>
      <c r="F3" s="67" t="s">
        <v>2076</v>
      </c>
      <c r="G3" s="68" t="s">
        <v>2077</v>
      </c>
      <c r="H3" s="67" t="s">
        <v>2078</v>
      </c>
      <c r="I3" s="67" t="s">
        <v>2079</v>
      </c>
      <c r="J3" s="67" t="s">
        <v>2080</v>
      </c>
      <c r="K3" s="69" t="s">
        <v>2081</v>
      </c>
    </row>
    <row r="4" spans="1:11" ht="30" customHeight="1" x14ac:dyDescent="0.3">
      <c r="A4" s="70">
        <v>1</v>
      </c>
      <c r="B4" s="71" t="s">
        <v>2082</v>
      </c>
      <c r="C4" s="71" t="s">
        <v>2083</v>
      </c>
      <c r="D4" s="71" t="s">
        <v>2018</v>
      </c>
      <c r="E4" s="72" t="s">
        <v>2084</v>
      </c>
      <c r="F4" s="72" t="s">
        <v>2085</v>
      </c>
      <c r="G4" s="73">
        <v>2</v>
      </c>
      <c r="H4" s="73" t="s">
        <v>2086</v>
      </c>
      <c r="I4" s="72"/>
      <c r="J4" s="71" t="s">
        <v>2087</v>
      </c>
      <c r="K4" s="74" t="s">
        <v>2088</v>
      </c>
    </row>
    <row r="5" spans="1:11" ht="30" customHeight="1" x14ac:dyDescent="0.3">
      <c r="A5" s="70">
        <v>2</v>
      </c>
      <c r="B5" s="71" t="s">
        <v>2089</v>
      </c>
      <c r="C5" s="71" t="s">
        <v>2083</v>
      </c>
      <c r="D5" s="71" t="s">
        <v>2018</v>
      </c>
      <c r="E5" s="72" t="s">
        <v>2090</v>
      </c>
      <c r="F5" s="72" t="s">
        <v>2091</v>
      </c>
      <c r="G5" s="73">
        <v>4</v>
      </c>
      <c r="H5" s="73" t="s">
        <v>2086</v>
      </c>
      <c r="I5" s="72"/>
      <c r="J5" s="71" t="s">
        <v>2092</v>
      </c>
      <c r="K5" s="74" t="s">
        <v>2093</v>
      </c>
    </row>
    <row r="6" spans="1:11" ht="30" customHeight="1" x14ac:dyDescent="0.3">
      <c r="A6" s="70">
        <v>3</v>
      </c>
      <c r="B6" s="71" t="s">
        <v>2094</v>
      </c>
      <c r="C6" s="71" t="s">
        <v>2083</v>
      </c>
      <c r="D6" s="71" t="s">
        <v>2018</v>
      </c>
      <c r="E6" s="72" t="s">
        <v>2095</v>
      </c>
      <c r="F6" s="72" t="s">
        <v>2096</v>
      </c>
      <c r="G6" s="73">
        <v>1</v>
      </c>
      <c r="H6" s="73" t="s">
        <v>2086</v>
      </c>
      <c r="I6" s="72"/>
      <c r="J6" s="71" t="s">
        <v>2097</v>
      </c>
      <c r="K6" s="74" t="s">
        <v>2088</v>
      </c>
    </row>
    <row r="7" spans="1:11" ht="30" customHeight="1" x14ac:dyDescent="0.3">
      <c r="A7" s="70">
        <v>4</v>
      </c>
      <c r="B7" s="71" t="s">
        <v>2098</v>
      </c>
      <c r="C7" s="71" t="s">
        <v>2099</v>
      </c>
      <c r="D7" s="71" t="s">
        <v>2018</v>
      </c>
      <c r="E7" s="72" t="s">
        <v>2100</v>
      </c>
      <c r="F7" s="72" t="s">
        <v>2101</v>
      </c>
      <c r="G7" s="73">
        <v>0</v>
      </c>
      <c r="H7" s="73" t="s">
        <v>2086</v>
      </c>
      <c r="I7" s="72"/>
      <c r="J7" s="71" t="s">
        <v>2102</v>
      </c>
      <c r="K7" s="74" t="s">
        <v>2088</v>
      </c>
    </row>
    <row r="8" spans="1:11" ht="30" customHeight="1" x14ac:dyDescent="0.3">
      <c r="A8" s="70">
        <v>5</v>
      </c>
      <c r="B8" s="71" t="s">
        <v>2103</v>
      </c>
      <c r="C8" s="71" t="s">
        <v>2099</v>
      </c>
      <c r="D8" s="71" t="s">
        <v>2018</v>
      </c>
      <c r="E8" s="72" t="s">
        <v>2104</v>
      </c>
      <c r="F8" s="72" t="s">
        <v>2105</v>
      </c>
      <c r="G8" s="73">
        <v>0</v>
      </c>
      <c r="H8" s="73" t="s">
        <v>2086</v>
      </c>
      <c r="I8" s="72"/>
      <c r="J8" s="71" t="s">
        <v>2106</v>
      </c>
      <c r="K8" s="74" t="s">
        <v>2088</v>
      </c>
    </row>
    <row r="9" spans="1:11" ht="30" customHeight="1" x14ac:dyDescent="0.3">
      <c r="A9" s="70">
        <v>6</v>
      </c>
      <c r="B9" s="71" t="s">
        <v>2107</v>
      </c>
      <c r="C9" s="71" t="s">
        <v>2099</v>
      </c>
      <c r="D9" s="71" t="s">
        <v>2019</v>
      </c>
      <c r="E9" s="72" t="s">
        <v>2108</v>
      </c>
      <c r="F9" s="72" t="s">
        <v>2109</v>
      </c>
      <c r="G9" s="73">
        <v>0</v>
      </c>
      <c r="H9" s="73" t="s">
        <v>2086</v>
      </c>
      <c r="I9" s="72"/>
      <c r="J9" s="71" t="s">
        <v>2110</v>
      </c>
      <c r="K9" s="74" t="s">
        <v>2111</v>
      </c>
    </row>
    <row r="10" spans="1:11" ht="30" customHeight="1" x14ac:dyDescent="0.3">
      <c r="A10" s="70">
        <v>7</v>
      </c>
      <c r="B10" s="71" t="s">
        <v>2112</v>
      </c>
      <c r="C10" s="71" t="s">
        <v>2099</v>
      </c>
      <c r="D10" s="71" t="s">
        <v>2021</v>
      </c>
      <c r="E10" s="72" t="s">
        <v>2113</v>
      </c>
      <c r="F10" s="72" t="s">
        <v>2114</v>
      </c>
      <c r="G10" s="73">
        <v>0</v>
      </c>
      <c r="H10" s="73" t="s">
        <v>2086</v>
      </c>
      <c r="I10" s="72"/>
      <c r="J10" s="71" t="s">
        <v>2115</v>
      </c>
      <c r="K10" s="74" t="s">
        <v>2116</v>
      </c>
    </row>
    <row r="11" spans="1:11" ht="30" customHeight="1" x14ac:dyDescent="0.3">
      <c r="A11" s="70">
        <v>8</v>
      </c>
      <c r="B11" s="71" t="s">
        <v>2117</v>
      </c>
      <c r="C11" s="71" t="s">
        <v>2099</v>
      </c>
      <c r="D11" s="71" t="s">
        <v>2021</v>
      </c>
      <c r="E11" s="72" t="s">
        <v>2118</v>
      </c>
      <c r="F11" s="72" t="s">
        <v>2119</v>
      </c>
      <c r="G11" s="73">
        <v>0</v>
      </c>
      <c r="H11" s="73" t="s">
        <v>2086</v>
      </c>
      <c r="I11" s="72"/>
      <c r="J11" s="71" t="s">
        <v>2120</v>
      </c>
      <c r="K11" s="74" t="s">
        <v>2088</v>
      </c>
    </row>
    <row r="12" spans="1:11" ht="30" customHeight="1" x14ac:dyDescent="0.3">
      <c r="A12" s="70">
        <v>9</v>
      </c>
      <c r="B12" s="71" t="s">
        <v>2121</v>
      </c>
      <c r="C12" s="71" t="s">
        <v>2083</v>
      </c>
      <c r="D12" s="71" t="s">
        <v>2020</v>
      </c>
      <c r="E12" s="72" t="s">
        <v>2122</v>
      </c>
      <c r="F12" s="72" t="s">
        <v>2123</v>
      </c>
      <c r="G12" s="73">
        <v>0</v>
      </c>
      <c r="H12" s="73" t="s">
        <v>2086</v>
      </c>
      <c r="I12" s="72"/>
      <c r="J12" s="71" t="s">
        <v>2124</v>
      </c>
      <c r="K12" s="74" t="s">
        <v>2088</v>
      </c>
    </row>
    <row r="13" spans="1:11" ht="30" customHeight="1" x14ac:dyDescent="0.3">
      <c r="A13" s="70">
        <v>10</v>
      </c>
      <c r="B13" s="71" t="s">
        <v>2125</v>
      </c>
      <c r="C13" s="71" t="s">
        <v>2126</v>
      </c>
      <c r="D13" s="71" t="s">
        <v>2018</v>
      </c>
      <c r="E13" s="72" t="s">
        <v>2127</v>
      </c>
      <c r="F13" s="72" t="s">
        <v>2128</v>
      </c>
      <c r="G13" s="73">
        <v>0</v>
      </c>
      <c r="H13" s="73" t="s">
        <v>2086</v>
      </c>
      <c r="I13" s="72"/>
      <c r="J13" s="71" t="s">
        <v>2129</v>
      </c>
      <c r="K13" s="74" t="s">
        <v>2088</v>
      </c>
    </row>
    <row r="14" spans="1:11" ht="30" customHeight="1" x14ac:dyDescent="0.3">
      <c r="A14" s="70">
        <v>11</v>
      </c>
      <c r="B14" s="71" t="s">
        <v>2130</v>
      </c>
      <c r="C14" s="71" t="s">
        <v>2126</v>
      </c>
      <c r="D14" s="71" t="s">
        <v>2020</v>
      </c>
      <c r="E14" s="72" t="s">
        <v>2131</v>
      </c>
      <c r="F14" s="72" t="s">
        <v>2132</v>
      </c>
      <c r="G14" s="73">
        <v>0</v>
      </c>
      <c r="H14" s="73" t="s">
        <v>2086</v>
      </c>
      <c r="I14" s="72"/>
      <c r="J14" s="71" t="s">
        <v>2133</v>
      </c>
      <c r="K14" s="74" t="s">
        <v>2088</v>
      </c>
    </row>
    <row r="15" spans="1:11" ht="30" customHeight="1" x14ac:dyDescent="0.3">
      <c r="A15" s="70">
        <v>12</v>
      </c>
      <c r="B15" s="71" t="s">
        <v>2134</v>
      </c>
      <c r="C15" s="71" t="s">
        <v>2126</v>
      </c>
      <c r="D15" s="71" t="s">
        <v>2020</v>
      </c>
      <c r="E15" s="72" t="s">
        <v>2135</v>
      </c>
      <c r="F15" s="72" t="s">
        <v>2136</v>
      </c>
      <c r="G15" s="73">
        <v>0</v>
      </c>
      <c r="H15" s="73" t="s">
        <v>2086</v>
      </c>
      <c r="I15" s="72"/>
      <c r="J15" s="71" t="s">
        <v>2137</v>
      </c>
      <c r="K15" s="74" t="s">
        <v>2088</v>
      </c>
    </row>
    <row r="16" spans="1:11" ht="30" customHeight="1" x14ac:dyDescent="0.3">
      <c r="A16" s="70">
        <v>13</v>
      </c>
      <c r="B16" s="71" t="s">
        <v>2138</v>
      </c>
      <c r="C16" s="71" t="s">
        <v>437</v>
      </c>
      <c r="D16" s="71" t="s">
        <v>2020</v>
      </c>
      <c r="E16" s="72" t="s">
        <v>2139</v>
      </c>
      <c r="F16" s="72" t="s">
        <v>2140</v>
      </c>
      <c r="G16" s="73">
        <v>0</v>
      </c>
      <c r="H16" s="73" t="s">
        <v>2086</v>
      </c>
      <c r="I16" s="72"/>
      <c r="J16" s="71" t="s">
        <v>2141</v>
      </c>
      <c r="K16" s="74" t="s">
        <v>2088</v>
      </c>
    </row>
    <row r="17" spans="1:11" ht="30" customHeight="1" x14ac:dyDescent="0.3">
      <c r="A17" s="70">
        <v>14</v>
      </c>
      <c r="B17" s="71" t="s">
        <v>2142</v>
      </c>
      <c r="C17" s="71" t="s">
        <v>437</v>
      </c>
      <c r="D17" s="71" t="s">
        <v>2020</v>
      </c>
      <c r="E17" s="72" t="s">
        <v>2143</v>
      </c>
      <c r="F17" s="72" t="s">
        <v>2144</v>
      </c>
      <c r="G17" s="73">
        <v>0</v>
      </c>
      <c r="H17" s="73" t="s">
        <v>2086</v>
      </c>
      <c r="I17" s="72"/>
      <c r="J17" s="71" t="s">
        <v>2145</v>
      </c>
      <c r="K17" s="74" t="s">
        <v>2088</v>
      </c>
    </row>
    <row r="18" spans="1:11" ht="30" customHeight="1" x14ac:dyDescent="0.3">
      <c r="A18" s="70">
        <v>15</v>
      </c>
      <c r="B18" s="71" t="s">
        <v>2146</v>
      </c>
      <c r="C18" s="71" t="s">
        <v>437</v>
      </c>
      <c r="D18" s="71" t="s">
        <v>2020</v>
      </c>
      <c r="E18" s="72" t="s">
        <v>2147</v>
      </c>
      <c r="F18" s="72" t="s">
        <v>2148</v>
      </c>
      <c r="G18" s="73">
        <v>0</v>
      </c>
      <c r="H18" s="73" t="s">
        <v>2086</v>
      </c>
      <c r="I18" s="72"/>
      <c r="J18" s="71" t="s">
        <v>2149</v>
      </c>
      <c r="K18" s="74" t="s">
        <v>2088</v>
      </c>
    </row>
    <row r="19" spans="1:11" ht="30" customHeight="1" x14ac:dyDescent="0.3">
      <c r="A19" s="70">
        <v>16</v>
      </c>
      <c r="B19" s="71" t="s">
        <v>2150</v>
      </c>
      <c r="C19" s="71" t="s">
        <v>437</v>
      </c>
      <c r="D19" s="71" t="s">
        <v>2021</v>
      </c>
      <c r="E19" s="72" t="s">
        <v>2151</v>
      </c>
      <c r="F19" s="72" t="s">
        <v>2152</v>
      </c>
      <c r="G19" s="73">
        <v>0</v>
      </c>
      <c r="H19" s="73" t="s">
        <v>2086</v>
      </c>
      <c r="I19" s="72"/>
      <c r="J19" s="71" t="s">
        <v>2153</v>
      </c>
      <c r="K19" s="74" t="s">
        <v>2088</v>
      </c>
    </row>
    <row r="20" spans="1:11" ht="30" customHeight="1" x14ac:dyDescent="0.3">
      <c r="A20" s="70">
        <v>17</v>
      </c>
      <c r="B20" s="71" t="s">
        <v>2154</v>
      </c>
      <c r="C20" s="71" t="s">
        <v>437</v>
      </c>
      <c r="D20" s="71" t="s">
        <v>2020</v>
      </c>
      <c r="E20" s="72" t="s">
        <v>2155</v>
      </c>
      <c r="F20" s="72" t="s">
        <v>2156</v>
      </c>
      <c r="G20" s="73">
        <v>0</v>
      </c>
      <c r="H20" s="73" t="s">
        <v>2086</v>
      </c>
      <c r="I20" s="72"/>
      <c r="J20" s="71" t="s">
        <v>2157</v>
      </c>
      <c r="K20" s="74" t="s">
        <v>2088</v>
      </c>
    </row>
    <row r="21" spans="1:11" ht="30" customHeight="1" x14ac:dyDescent="0.3">
      <c r="A21" s="70">
        <v>18</v>
      </c>
      <c r="B21" s="71" t="s">
        <v>2158</v>
      </c>
      <c r="C21" s="71" t="s">
        <v>437</v>
      </c>
      <c r="D21" s="71" t="s">
        <v>2021</v>
      </c>
      <c r="E21" s="72" t="s">
        <v>2159</v>
      </c>
      <c r="F21" s="72" t="s">
        <v>2160</v>
      </c>
      <c r="G21" s="73">
        <v>0</v>
      </c>
      <c r="H21" s="73" t="s">
        <v>2086</v>
      </c>
      <c r="I21" s="72"/>
      <c r="J21" s="71" t="s">
        <v>2161</v>
      </c>
      <c r="K21" s="74" t="s">
        <v>2088</v>
      </c>
    </row>
    <row r="22" spans="1:11" ht="30" customHeight="1" x14ac:dyDescent="0.3">
      <c r="A22" s="70">
        <v>19</v>
      </c>
      <c r="B22" s="71" t="s">
        <v>2162</v>
      </c>
      <c r="C22" s="71" t="s">
        <v>437</v>
      </c>
      <c r="D22" s="71" t="s">
        <v>2020</v>
      </c>
      <c r="E22" s="72" t="s">
        <v>2163</v>
      </c>
      <c r="F22" s="72" t="s">
        <v>2164</v>
      </c>
      <c r="G22" s="73">
        <v>0</v>
      </c>
      <c r="H22" s="73" t="s">
        <v>2086</v>
      </c>
      <c r="I22" s="72"/>
      <c r="J22" s="71" t="s">
        <v>2153</v>
      </c>
      <c r="K22" s="74" t="s">
        <v>2088</v>
      </c>
    </row>
    <row r="23" spans="1:11" ht="30" customHeight="1" x14ac:dyDescent="0.3">
      <c r="A23" s="70">
        <v>20</v>
      </c>
      <c r="B23" s="71" t="s">
        <v>2165</v>
      </c>
      <c r="C23" s="71" t="s">
        <v>437</v>
      </c>
      <c r="D23" s="71" t="s">
        <v>2019</v>
      </c>
      <c r="E23" s="72" t="s">
        <v>2166</v>
      </c>
      <c r="F23" s="72" t="s">
        <v>2167</v>
      </c>
      <c r="G23" s="73">
        <v>0</v>
      </c>
      <c r="H23" s="73" t="s">
        <v>2086</v>
      </c>
      <c r="I23" s="72"/>
      <c r="J23" s="71" t="s">
        <v>2168</v>
      </c>
      <c r="K23" s="74" t="s">
        <v>2111</v>
      </c>
    </row>
    <row r="24" spans="1:11" ht="30" customHeight="1" x14ac:dyDescent="0.3">
      <c r="A24" s="70">
        <v>21</v>
      </c>
      <c r="B24" s="71" t="s">
        <v>2169</v>
      </c>
      <c r="C24" s="71" t="s">
        <v>2083</v>
      </c>
      <c r="D24" s="71" t="s">
        <v>2020</v>
      </c>
      <c r="E24" s="72" t="s">
        <v>2170</v>
      </c>
      <c r="F24" s="72" t="s">
        <v>2171</v>
      </c>
      <c r="G24" s="73">
        <v>0</v>
      </c>
      <c r="H24" s="73" t="s">
        <v>2086</v>
      </c>
      <c r="I24" s="72"/>
      <c r="J24" s="71" t="s">
        <v>2172</v>
      </c>
      <c r="K24" s="74" t="s">
        <v>2088</v>
      </c>
    </row>
    <row r="25" spans="1:11" ht="30" customHeight="1" x14ac:dyDescent="0.3">
      <c r="A25" s="70">
        <v>22</v>
      </c>
      <c r="B25" s="71" t="s">
        <v>2173</v>
      </c>
      <c r="C25" s="71" t="s">
        <v>2083</v>
      </c>
      <c r="D25" s="71" t="s">
        <v>2018</v>
      </c>
      <c r="E25" s="72" t="s">
        <v>2174</v>
      </c>
      <c r="F25" s="72" t="s">
        <v>2175</v>
      </c>
      <c r="G25" s="73">
        <v>0</v>
      </c>
      <c r="H25" s="73" t="s">
        <v>2086</v>
      </c>
      <c r="I25" s="72"/>
      <c r="J25" s="71" t="s">
        <v>2176</v>
      </c>
      <c r="K25" s="74" t="s">
        <v>2093</v>
      </c>
    </row>
    <row r="26" spans="1:11" ht="30" customHeight="1" x14ac:dyDescent="0.3">
      <c r="A26" s="70">
        <v>23</v>
      </c>
      <c r="B26" s="71" t="s">
        <v>2177</v>
      </c>
      <c r="C26" s="71" t="s">
        <v>2083</v>
      </c>
      <c r="D26" s="71" t="s">
        <v>2019</v>
      </c>
      <c r="E26" s="72" t="s">
        <v>2178</v>
      </c>
      <c r="F26" s="72" t="s">
        <v>2179</v>
      </c>
      <c r="G26" s="73">
        <v>0</v>
      </c>
      <c r="H26" s="73" t="s">
        <v>2086</v>
      </c>
      <c r="I26" s="72"/>
      <c r="J26" s="71" t="s">
        <v>2180</v>
      </c>
      <c r="K26" s="74" t="s">
        <v>2093</v>
      </c>
    </row>
    <row r="27" spans="1:11" ht="30" customHeight="1" x14ac:dyDescent="0.3">
      <c r="A27" s="70">
        <v>24</v>
      </c>
      <c r="B27" s="71" t="s">
        <v>2181</v>
      </c>
      <c r="C27" s="71" t="s">
        <v>2083</v>
      </c>
      <c r="D27" s="71" t="s">
        <v>2020</v>
      </c>
      <c r="E27" s="72" t="s">
        <v>2182</v>
      </c>
      <c r="F27" s="72" t="s">
        <v>2183</v>
      </c>
      <c r="G27" s="73">
        <v>0</v>
      </c>
      <c r="H27" s="73" t="s">
        <v>2086</v>
      </c>
      <c r="I27" s="72"/>
      <c r="J27" s="71" t="s">
        <v>2184</v>
      </c>
      <c r="K27" s="74" t="s">
        <v>2088</v>
      </c>
    </row>
    <row r="28" spans="1:11" ht="30" customHeight="1" x14ac:dyDescent="0.3">
      <c r="A28" s="70">
        <v>25</v>
      </c>
      <c r="B28" s="71" t="s">
        <v>2185</v>
      </c>
      <c r="C28" s="71" t="s">
        <v>2083</v>
      </c>
      <c r="D28" s="71" t="s">
        <v>2021</v>
      </c>
      <c r="E28" s="72" t="s">
        <v>2186</v>
      </c>
      <c r="F28" s="72" t="s">
        <v>2187</v>
      </c>
      <c r="G28" s="73">
        <v>0</v>
      </c>
      <c r="H28" s="73" t="s">
        <v>2086</v>
      </c>
      <c r="I28" s="72"/>
      <c r="J28" s="71" t="s">
        <v>2188</v>
      </c>
      <c r="K28" s="74" t="s">
        <v>2088</v>
      </c>
    </row>
    <row r="29" spans="1:11" ht="30" customHeight="1" x14ac:dyDescent="0.3">
      <c r="A29" s="70">
        <v>26</v>
      </c>
      <c r="B29" s="71" t="s">
        <v>2189</v>
      </c>
      <c r="C29" s="71" t="s">
        <v>2190</v>
      </c>
      <c r="D29" s="71" t="s">
        <v>2019</v>
      </c>
      <c r="E29" s="72" t="s">
        <v>2191</v>
      </c>
      <c r="F29" s="72" t="s">
        <v>2192</v>
      </c>
      <c r="G29" s="73">
        <v>0</v>
      </c>
      <c r="H29" s="73" t="s">
        <v>2086</v>
      </c>
      <c r="I29" s="72"/>
      <c r="J29" s="71" t="s">
        <v>2193</v>
      </c>
      <c r="K29" s="74" t="s">
        <v>2093</v>
      </c>
    </row>
    <row r="30" spans="1:11" ht="30" customHeight="1" x14ac:dyDescent="0.3">
      <c r="A30" s="70">
        <v>27</v>
      </c>
      <c r="B30" s="71" t="s">
        <v>2194</v>
      </c>
      <c r="C30" s="71" t="s">
        <v>2083</v>
      </c>
      <c r="D30" s="71" t="s">
        <v>2019</v>
      </c>
      <c r="E30" s="72" t="s">
        <v>2195</v>
      </c>
      <c r="F30" s="72" t="s">
        <v>2196</v>
      </c>
      <c r="G30" s="73">
        <v>0</v>
      </c>
      <c r="H30" s="73" t="s">
        <v>2086</v>
      </c>
      <c r="I30" s="72"/>
      <c r="J30" s="71" t="s">
        <v>2193</v>
      </c>
      <c r="K30" s="74" t="s">
        <v>2093</v>
      </c>
    </row>
    <row r="31" spans="1:11" ht="30" customHeight="1" x14ac:dyDescent="0.3">
      <c r="A31" s="70">
        <v>28</v>
      </c>
      <c r="B31" s="71" t="s">
        <v>2197</v>
      </c>
      <c r="C31" s="71" t="s">
        <v>2083</v>
      </c>
      <c r="D31" s="71" t="s">
        <v>2019</v>
      </c>
      <c r="E31" s="72" t="s">
        <v>2198</v>
      </c>
      <c r="F31" s="72" t="s">
        <v>2199</v>
      </c>
      <c r="G31" s="73">
        <v>0</v>
      </c>
      <c r="H31" s="73" t="s">
        <v>2086</v>
      </c>
      <c r="I31" s="72"/>
      <c r="J31" s="71" t="s">
        <v>2200</v>
      </c>
      <c r="K31" s="74" t="s">
        <v>2116</v>
      </c>
    </row>
    <row r="32" spans="1:11" ht="30" customHeight="1" x14ac:dyDescent="0.3">
      <c r="A32" s="70">
        <v>29</v>
      </c>
      <c r="B32" s="71" t="s">
        <v>2201</v>
      </c>
      <c r="C32" s="71" t="s">
        <v>2083</v>
      </c>
      <c r="D32" s="71" t="s">
        <v>2019</v>
      </c>
      <c r="E32" s="72" t="s">
        <v>2202</v>
      </c>
      <c r="F32" s="72" t="s">
        <v>2203</v>
      </c>
      <c r="G32" s="73">
        <v>0</v>
      </c>
      <c r="H32" s="73" t="s">
        <v>2086</v>
      </c>
      <c r="I32" s="72"/>
      <c r="J32" s="71" t="s">
        <v>2204</v>
      </c>
      <c r="K32" s="74" t="s">
        <v>2111</v>
      </c>
    </row>
    <row r="33" spans="1:11" ht="30" customHeight="1" x14ac:dyDescent="0.3">
      <c r="A33" s="70">
        <v>30</v>
      </c>
      <c r="B33" s="71" t="s">
        <v>2205</v>
      </c>
      <c r="C33" s="71" t="s">
        <v>2206</v>
      </c>
      <c r="D33" s="71" t="s">
        <v>2018</v>
      </c>
      <c r="E33" s="72" t="s">
        <v>2207</v>
      </c>
      <c r="F33" s="72" t="s">
        <v>2208</v>
      </c>
      <c r="G33" s="73">
        <v>0</v>
      </c>
      <c r="H33" s="73" t="s">
        <v>2086</v>
      </c>
      <c r="I33" s="72"/>
      <c r="J33" s="71" t="s">
        <v>2209</v>
      </c>
      <c r="K33" s="74" t="s">
        <v>2093</v>
      </c>
    </row>
    <row r="34" spans="1:11" ht="30" customHeight="1" x14ac:dyDescent="0.3">
      <c r="A34" s="70">
        <v>31</v>
      </c>
      <c r="B34" s="71" t="s">
        <v>2210</v>
      </c>
      <c r="C34" s="71" t="s">
        <v>2211</v>
      </c>
      <c r="D34" s="71" t="s">
        <v>2019</v>
      </c>
      <c r="E34" s="72" t="s">
        <v>2212</v>
      </c>
      <c r="F34" s="72" t="s">
        <v>2213</v>
      </c>
      <c r="G34" s="73">
        <v>0</v>
      </c>
      <c r="H34" s="73" t="s">
        <v>2086</v>
      </c>
      <c r="I34" s="72"/>
      <c r="J34" s="71" t="s">
        <v>2214</v>
      </c>
      <c r="K34" s="74" t="s">
        <v>2111</v>
      </c>
    </row>
    <row r="35" spans="1:11" ht="30" customHeight="1" x14ac:dyDescent="0.3">
      <c r="A35" s="70">
        <v>32</v>
      </c>
      <c r="B35" s="71" t="s">
        <v>2215</v>
      </c>
      <c r="C35" s="71" t="s">
        <v>2211</v>
      </c>
      <c r="D35" s="71" t="s">
        <v>2019</v>
      </c>
      <c r="E35" s="72" t="s">
        <v>2216</v>
      </c>
      <c r="F35" s="72" t="s">
        <v>2217</v>
      </c>
      <c r="G35" s="73">
        <v>0</v>
      </c>
      <c r="H35" s="73" t="s">
        <v>2086</v>
      </c>
      <c r="I35" s="72"/>
      <c r="J35" s="71" t="s">
        <v>2214</v>
      </c>
      <c r="K35" s="74" t="s">
        <v>2111</v>
      </c>
    </row>
    <row r="36" spans="1:11" ht="30" customHeight="1" x14ac:dyDescent="0.3">
      <c r="A36" s="70">
        <v>33</v>
      </c>
      <c r="B36" s="71" t="s">
        <v>2218</v>
      </c>
      <c r="C36" s="71" t="s">
        <v>2083</v>
      </c>
      <c r="D36" s="71" t="s">
        <v>2020</v>
      </c>
      <c r="E36" s="72" t="s">
        <v>2219</v>
      </c>
      <c r="F36" s="72" t="s">
        <v>2220</v>
      </c>
      <c r="G36" s="73">
        <v>0</v>
      </c>
      <c r="H36" s="73" t="s">
        <v>2086</v>
      </c>
      <c r="I36" s="72"/>
      <c r="J36" s="71" t="s">
        <v>2221</v>
      </c>
      <c r="K36" s="74" t="s">
        <v>2116</v>
      </c>
    </row>
    <row r="37" spans="1:11" ht="30" customHeight="1" x14ac:dyDescent="0.3">
      <c r="A37" s="70">
        <v>34</v>
      </c>
      <c r="B37" s="71" t="s">
        <v>2222</v>
      </c>
      <c r="C37" s="71" t="s">
        <v>2083</v>
      </c>
      <c r="D37" s="71" t="s">
        <v>2020</v>
      </c>
      <c r="E37" s="72" t="s">
        <v>2223</v>
      </c>
      <c r="F37" s="72" t="s">
        <v>2224</v>
      </c>
      <c r="G37" s="73">
        <v>0</v>
      </c>
      <c r="H37" s="73" t="s">
        <v>2086</v>
      </c>
      <c r="I37" s="72"/>
      <c r="J37" s="71" t="s">
        <v>2225</v>
      </c>
      <c r="K37" s="74" t="s">
        <v>2116</v>
      </c>
    </row>
    <row r="38" spans="1:11" ht="30" customHeight="1" x14ac:dyDescent="0.3">
      <c r="A38" s="70">
        <v>35</v>
      </c>
      <c r="B38" s="71" t="s">
        <v>2226</v>
      </c>
      <c r="C38" s="71" t="s">
        <v>2083</v>
      </c>
      <c r="D38" s="71" t="s">
        <v>2019</v>
      </c>
      <c r="E38" s="72" t="s">
        <v>2227</v>
      </c>
      <c r="F38" s="72" t="s">
        <v>2228</v>
      </c>
      <c r="G38" s="73">
        <v>0</v>
      </c>
      <c r="H38" s="73" t="s">
        <v>2086</v>
      </c>
      <c r="I38" s="72"/>
      <c r="J38" s="71" t="s">
        <v>2229</v>
      </c>
      <c r="K38" s="74" t="s">
        <v>2116</v>
      </c>
    </row>
    <row r="39" spans="1:11" ht="30" customHeight="1" x14ac:dyDescent="0.3">
      <c r="A39" s="70">
        <v>36</v>
      </c>
      <c r="B39" s="71" t="s">
        <v>2230</v>
      </c>
      <c r="C39" s="71" t="s">
        <v>2083</v>
      </c>
      <c r="D39" s="71" t="s">
        <v>2020</v>
      </c>
      <c r="E39" s="72" t="s">
        <v>2231</v>
      </c>
      <c r="F39" s="72" t="s">
        <v>2232</v>
      </c>
      <c r="G39" s="73">
        <v>0</v>
      </c>
      <c r="H39" s="73" t="s">
        <v>2086</v>
      </c>
      <c r="I39" s="72"/>
      <c r="J39" s="71" t="s">
        <v>2233</v>
      </c>
      <c r="K39" s="74" t="s">
        <v>2116</v>
      </c>
    </row>
    <row r="40" spans="1:11" ht="30" customHeight="1" x14ac:dyDescent="0.3">
      <c r="A40" s="70">
        <v>37</v>
      </c>
      <c r="B40" s="71" t="s">
        <v>2234</v>
      </c>
      <c r="C40" s="71" t="s">
        <v>2083</v>
      </c>
      <c r="D40" s="71" t="s">
        <v>2020</v>
      </c>
      <c r="E40" s="72" t="s">
        <v>2235</v>
      </c>
      <c r="F40" s="72" t="s">
        <v>2236</v>
      </c>
      <c r="G40" s="73">
        <v>0</v>
      </c>
      <c r="H40" s="73" t="s">
        <v>2086</v>
      </c>
      <c r="I40" s="72"/>
      <c r="J40" s="71" t="s">
        <v>2233</v>
      </c>
      <c r="K40" s="74" t="s">
        <v>2116</v>
      </c>
    </row>
    <row r="41" spans="1:11" ht="30" customHeight="1" x14ac:dyDescent="0.3">
      <c r="A41" s="70">
        <v>38</v>
      </c>
      <c r="B41" s="71" t="s">
        <v>2237</v>
      </c>
      <c r="C41" s="71" t="s">
        <v>2083</v>
      </c>
      <c r="D41" s="71" t="s">
        <v>2020</v>
      </c>
      <c r="E41" s="72" t="s">
        <v>2238</v>
      </c>
      <c r="F41" s="72" t="s">
        <v>2239</v>
      </c>
      <c r="G41" s="73">
        <v>0</v>
      </c>
      <c r="H41" s="73" t="s">
        <v>2086</v>
      </c>
      <c r="I41" s="72"/>
      <c r="J41" s="71" t="s">
        <v>2200</v>
      </c>
      <c r="K41" s="74" t="s">
        <v>2116</v>
      </c>
    </row>
    <row r="42" spans="1:11" ht="30" customHeight="1" x14ac:dyDescent="0.3">
      <c r="A42" s="70">
        <v>39</v>
      </c>
      <c r="B42" s="71" t="s">
        <v>2240</v>
      </c>
      <c r="C42" s="71" t="s">
        <v>2083</v>
      </c>
      <c r="D42" s="71" t="s">
        <v>2019</v>
      </c>
      <c r="E42" s="72" t="s">
        <v>2241</v>
      </c>
      <c r="F42" s="72" t="s">
        <v>2242</v>
      </c>
      <c r="G42" s="73">
        <v>0</v>
      </c>
      <c r="H42" s="73" t="s">
        <v>2086</v>
      </c>
      <c r="I42" s="72"/>
      <c r="J42" s="71" t="s">
        <v>2243</v>
      </c>
      <c r="K42" s="74" t="s">
        <v>2093</v>
      </c>
    </row>
    <row r="43" spans="1:11" ht="30" customHeight="1" x14ac:dyDescent="0.3">
      <c r="A43" s="70">
        <v>40</v>
      </c>
      <c r="B43" s="71" t="s">
        <v>2244</v>
      </c>
      <c r="C43" s="71" t="s">
        <v>2083</v>
      </c>
      <c r="D43" s="71" t="s">
        <v>2020</v>
      </c>
      <c r="E43" s="72" t="s">
        <v>2245</v>
      </c>
      <c r="F43" s="72" t="s">
        <v>2246</v>
      </c>
      <c r="G43" s="73">
        <v>0</v>
      </c>
      <c r="H43" s="73" t="s">
        <v>2086</v>
      </c>
      <c r="I43" s="72"/>
      <c r="J43" s="71" t="s">
        <v>2247</v>
      </c>
      <c r="K43" s="74" t="s">
        <v>2088</v>
      </c>
    </row>
    <row r="44" spans="1:11" ht="30" customHeight="1" x14ac:dyDescent="0.3">
      <c r="A44" s="70">
        <v>41</v>
      </c>
      <c r="B44" s="71" t="s">
        <v>2248</v>
      </c>
      <c r="C44" s="71" t="s">
        <v>2249</v>
      </c>
      <c r="D44" s="71" t="s">
        <v>2020</v>
      </c>
      <c r="E44" s="72" t="s">
        <v>2250</v>
      </c>
      <c r="F44" s="72" t="s">
        <v>2251</v>
      </c>
      <c r="G44" s="73">
        <v>0</v>
      </c>
      <c r="H44" s="73" t="s">
        <v>2086</v>
      </c>
      <c r="I44" s="72"/>
      <c r="J44" s="71" t="s">
        <v>2252</v>
      </c>
      <c r="K44" s="74" t="s">
        <v>2088</v>
      </c>
    </row>
    <row r="45" spans="1:11" ht="30" customHeight="1" x14ac:dyDescent="0.3">
      <c r="A45" s="70">
        <v>42</v>
      </c>
      <c r="B45" s="71" t="s">
        <v>2253</v>
      </c>
      <c r="C45" s="71" t="s">
        <v>2249</v>
      </c>
      <c r="D45" s="71" t="s">
        <v>2021</v>
      </c>
      <c r="E45" s="72" t="s">
        <v>2254</v>
      </c>
      <c r="F45" s="72" t="s">
        <v>2255</v>
      </c>
      <c r="G45" s="73">
        <v>0</v>
      </c>
      <c r="H45" s="73" t="s">
        <v>2086</v>
      </c>
      <c r="I45" s="72"/>
      <c r="J45" s="71" t="s">
        <v>2256</v>
      </c>
      <c r="K45" s="74" t="s">
        <v>2088</v>
      </c>
    </row>
    <row r="46" spans="1:11" ht="30" customHeight="1" x14ac:dyDescent="0.3">
      <c r="A46" s="70">
        <v>43</v>
      </c>
      <c r="B46" s="71" t="s">
        <v>2257</v>
      </c>
      <c r="C46" s="71" t="s">
        <v>2249</v>
      </c>
      <c r="D46" s="71" t="s">
        <v>2019</v>
      </c>
      <c r="E46" s="72" t="s">
        <v>2258</v>
      </c>
      <c r="F46" s="72" t="s">
        <v>2259</v>
      </c>
      <c r="G46" s="73">
        <v>0</v>
      </c>
      <c r="H46" s="73" t="s">
        <v>2086</v>
      </c>
      <c r="I46" s="72"/>
      <c r="J46" s="71" t="s">
        <v>2260</v>
      </c>
      <c r="K46" s="74" t="s">
        <v>2093</v>
      </c>
    </row>
    <row r="47" spans="1:11" ht="30" customHeight="1" x14ac:dyDescent="0.3">
      <c r="A47" s="70">
        <v>44</v>
      </c>
      <c r="B47" s="71" t="s">
        <v>2261</v>
      </c>
      <c r="C47" s="71" t="s">
        <v>2249</v>
      </c>
      <c r="D47" s="71" t="s">
        <v>2021</v>
      </c>
      <c r="E47" s="72" t="s">
        <v>2262</v>
      </c>
      <c r="F47" s="72" t="s">
        <v>2263</v>
      </c>
      <c r="G47" s="73">
        <v>0</v>
      </c>
      <c r="H47" s="73" t="s">
        <v>2086</v>
      </c>
      <c r="I47" s="72"/>
      <c r="J47" s="71" t="s">
        <v>2264</v>
      </c>
      <c r="K47" s="74" t="s">
        <v>2116</v>
      </c>
    </row>
    <row r="48" spans="1:11" ht="30" customHeight="1" x14ac:dyDescent="0.3">
      <c r="A48" s="70">
        <v>45</v>
      </c>
      <c r="B48" s="71" t="s">
        <v>2265</v>
      </c>
      <c r="C48" s="71" t="s">
        <v>2249</v>
      </c>
      <c r="D48" s="71" t="s">
        <v>2020</v>
      </c>
      <c r="E48" s="72" t="s">
        <v>2266</v>
      </c>
      <c r="F48" s="72" t="s">
        <v>2267</v>
      </c>
      <c r="G48" s="73">
        <v>0</v>
      </c>
      <c r="H48" s="73" t="s">
        <v>2086</v>
      </c>
      <c r="I48" s="72"/>
      <c r="J48" s="71" t="s">
        <v>2268</v>
      </c>
      <c r="K48" s="74" t="s">
        <v>2088</v>
      </c>
    </row>
    <row r="49" spans="1:11" ht="30" customHeight="1" x14ac:dyDescent="0.3">
      <c r="A49" s="70">
        <v>46</v>
      </c>
      <c r="B49" s="71" t="s">
        <v>2269</v>
      </c>
      <c r="C49" s="71" t="s">
        <v>2249</v>
      </c>
      <c r="D49" s="71" t="s">
        <v>2021</v>
      </c>
      <c r="E49" s="72" t="s">
        <v>2270</v>
      </c>
      <c r="F49" s="72" t="s">
        <v>2271</v>
      </c>
      <c r="G49" s="73">
        <v>0</v>
      </c>
      <c r="H49" s="73" t="s">
        <v>2086</v>
      </c>
      <c r="I49" s="72"/>
      <c r="J49" s="71" t="s">
        <v>2272</v>
      </c>
      <c r="K49" s="74" t="s">
        <v>2088</v>
      </c>
    </row>
    <row r="50" spans="1:11" ht="30" customHeight="1" x14ac:dyDescent="0.3">
      <c r="A50" s="70">
        <v>47</v>
      </c>
      <c r="B50" s="71" t="s">
        <v>2273</v>
      </c>
      <c r="C50" s="71" t="s">
        <v>2249</v>
      </c>
      <c r="D50" s="71" t="s">
        <v>2021</v>
      </c>
      <c r="E50" s="72" t="s">
        <v>2274</v>
      </c>
      <c r="F50" s="72" t="s">
        <v>2275</v>
      </c>
      <c r="G50" s="73">
        <v>0</v>
      </c>
      <c r="H50" s="73" t="s">
        <v>2086</v>
      </c>
      <c r="I50" s="72"/>
      <c r="J50" s="71" t="s">
        <v>2022</v>
      </c>
      <c r="K50" s="74" t="s">
        <v>2088</v>
      </c>
    </row>
    <row r="51" spans="1:11" ht="30" customHeight="1" x14ac:dyDescent="0.3">
      <c r="A51" s="70">
        <v>48</v>
      </c>
      <c r="B51" s="71" t="s">
        <v>2276</v>
      </c>
      <c r="C51" s="71" t="s">
        <v>2083</v>
      </c>
      <c r="D51" s="71" t="s">
        <v>2019</v>
      </c>
      <c r="E51" s="72" t="s">
        <v>2277</v>
      </c>
      <c r="F51" s="72" t="s">
        <v>2278</v>
      </c>
      <c r="G51" s="73">
        <v>0</v>
      </c>
      <c r="H51" s="73" t="s">
        <v>2086</v>
      </c>
      <c r="I51" s="72"/>
      <c r="J51" s="71" t="s">
        <v>2200</v>
      </c>
      <c r="K51" s="74" t="s">
        <v>2116</v>
      </c>
    </row>
    <row r="52" spans="1:11" ht="30" customHeight="1" x14ac:dyDescent="0.3">
      <c r="A52" s="70">
        <v>49</v>
      </c>
      <c r="B52" s="71" t="s">
        <v>2279</v>
      </c>
      <c r="C52" s="71" t="s">
        <v>2083</v>
      </c>
      <c r="D52" s="71" t="s">
        <v>2019</v>
      </c>
      <c r="E52" s="72" t="s">
        <v>2280</v>
      </c>
      <c r="F52" s="72" t="s">
        <v>2281</v>
      </c>
      <c r="G52" s="73">
        <v>0</v>
      </c>
      <c r="H52" s="73" t="s">
        <v>2086</v>
      </c>
      <c r="I52" s="72"/>
      <c r="J52" s="71" t="s">
        <v>2282</v>
      </c>
      <c r="K52" s="74" t="s">
        <v>2116</v>
      </c>
    </row>
    <row r="53" spans="1:11" ht="30" customHeight="1" x14ac:dyDescent="0.3">
      <c r="A53" s="70">
        <v>50</v>
      </c>
      <c r="B53" s="71" t="s">
        <v>2283</v>
      </c>
      <c r="C53" s="71" t="s">
        <v>437</v>
      </c>
      <c r="D53" s="71" t="s">
        <v>2020</v>
      </c>
      <c r="E53" s="72" t="s">
        <v>2284</v>
      </c>
      <c r="F53" s="72" t="s">
        <v>2285</v>
      </c>
      <c r="G53" s="73">
        <v>0</v>
      </c>
      <c r="H53" s="73" t="s">
        <v>2086</v>
      </c>
      <c r="I53" s="72"/>
      <c r="J53" s="71" t="s">
        <v>2286</v>
      </c>
      <c r="K53" s="74" t="s">
        <v>2088</v>
      </c>
    </row>
    <row r="54" spans="1:11" ht="30" customHeight="1" x14ac:dyDescent="0.3">
      <c r="A54" s="70">
        <v>51</v>
      </c>
      <c r="B54" s="71" t="s">
        <v>2287</v>
      </c>
      <c r="C54" s="71" t="s">
        <v>437</v>
      </c>
      <c r="D54" s="71" t="s">
        <v>2020</v>
      </c>
      <c r="E54" s="72" t="s">
        <v>2288</v>
      </c>
      <c r="F54" s="72" t="s">
        <v>2289</v>
      </c>
      <c r="G54" s="73">
        <v>0</v>
      </c>
      <c r="H54" s="73" t="s">
        <v>2086</v>
      </c>
      <c r="I54" s="72"/>
      <c r="J54" s="71" t="s">
        <v>2290</v>
      </c>
      <c r="K54" s="74" t="s">
        <v>2088</v>
      </c>
    </row>
    <row r="55" spans="1:11" ht="30" customHeight="1" x14ac:dyDescent="0.3">
      <c r="A55" s="70">
        <v>52</v>
      </c>
      <c r="B55" s="71" t="s">
        <v>2291</v>
      </c>
      <c r="C55" s="71" t="s">
        <v>2083</v>
      </c>
      <c r="D55" s="71" t="s">
        <v>2020</v>
      </c>
      <c r="E55" s="72" t="s">
        <v>2292</v>
      </c>
      <c r="F55" s="72" t="s">
        <v>2293</v>
      </c>
      <c r="G55" s="73">
        <v>0</v>
      </c>
      <c r="H55" s="73" t="s">
        <v>2086</v>
      </c>
      <c r="I55" s="72"/>
      <c r="J55" s="71" t="s">
        <v>2172</v>
      </c>
      <c r="K55" s="74" t="s">
        <v>2088</v>
      </c>
    </row>
    <row r="56" spans="1:11" ht="30" customHeight="1" x14ac:dyDescent="0.3">
      <c r="A56" s="70">
        <v>53</v>
      </c>
      <c r="B56" s="71" t="s">
        <v>2294</v>
      </c>
      <c r="C56" s="71" t="s">
        <v>2126</v>
      </c>
      <c r="D56" s="71" t="s">
        <v>2020</v>
      </c>
      <c r="E56" s="72" t="s">
        <v>2295</v>
      </c>
      <c r="F56" s="72" t="s">
        <v>2296</v>
      </c>
      <c r="G56" s="73">
        <v>0</v>
      </c>
      <c r="H56" s="73" t="s">
        <v>2086</v>
      </c>
      <c r="I56" s="72"/>
      <c r="J56" s="71" t="s">
        <v>2297</v>
      </c>
      <c r="K56" s="74" t="s">
        <v>2088</v>
      </c>
    </row>
    <row r="57" spans="1:11" ht="30" customHeight="1" x14ac:dyDescent="0.3">
      <c r="A57" s="70">
        <v>54</v>
      </c>
      <c r="B57" s="71" t="s">
        <v>2298</v>
      </c>
      <c r="C57" s="71" t="s">
        <v>2299</v>
      </c>
      <c r="D57" s="71" t="s">
        <v>2020</v>
      </c>
      <c r="E57" s="72" t="s">
        <v>2300</v>
      </c>
      <c r="F57" s="72" t="s">
        <v>2301</v>
      </c>
      <c r="G57" s="73">
        <v>0</v>
      </c>
      <c r="H57" s="73" t="s">
        <v>2086</v>
      </c>
      <c r="I57" s="72"/>
      <c r="J57" s="71" t="s">
        <v>2302</v>
      </c>
      <c r="K57" s="74" t="s">
        <v>2088</v>
      </c>
    </row>
    <row r="58" spans="1:11" ht="30" customHeight="1" x14ac:dyDescent="0.3">
      <c r="A58" s="70">
        <v>55</v>
      </c>
      <c r="B58" s="71" t="s">
        <v>2303</v>
      </c>
      <c r="C58" s="71" t="s">
        <v>2249</v>
      </c>
      <c r="D58" s="71" t="s">
        <v>2020</v>
      </c>
      <c r="E58" s="72" t="s">
        <v>2304</v>
      </c>
      <c r="F58" s="72" t="s">
        <v>2305</v>
      </c>
      <c r="G58" s="73">
        <v>0</v>
      </c>
      <c r="H58" s="73" t="s">
        <v>2086</v>
      </c>
      <c r="I58" s="72"/>
      <c r="J58" s="71" t="s">
        <v>2306</v>
      </c>
      <c r="K58" s="74" t="s">
        <v>2088</v>
      </c>
    </row>
    <row r="59" spans="1:11" ht="30" customHeight="1" x14ac:dyDescent="0.3">
      <c r="A59" s="70">
        <v>56</v>
      </c>
      <c r="B59" s="71" t="s">
        <v>2307</v>
      </c>
      <c r="C59" s="71" t="s">
        <v>2206</v>
      </c>
      <c r="D59" s="71" t="s">
        <v>2018</v>
      </c>
      <c r="E59" s="72" t="s">
        <v>2308</v>
      </c>
      <c r="F59" s="72" t="s">
        <v>2309</v>
      </c>
      <c r="G59" s="73">
        <v>0</v>
      </c>
      <c r="H59" s="73" t="s">
        <v>2086</v>
      </c>
      <c r="I59" s="72"/>
      <c r="J59" s="71" t="s">
        <v>2310</v>
      </c>
      <c r="K59" s="74" t="s">
        <v>2093</v>
      </c>
    </row>
    <row r="60" spans="1:11" ht="30" customHeight="1" x14ac:dyDescent="0.3">
      <c r="A60" s="70">
        <v>57</v>
      </c>
      <c r="B60" s="71" t="s">
        <v>2311</v>
      </c>
      <c r="C60" s="71" t="s">
        <v>2312</v>
      </c>
      <c r="D60" s="71" t="s">
        <v>2018</v>
      </c>
      <c r="E60" s="72" t="s">
        <v>2313</v>
      </c>
      <c r="F60" s="72" t="s">
        <v>2314</v>
      </c>
      <c r="G60" s="73">
        <v>0</v>
      </c>
      <c r="H60" s="73" t="s">
        <v>2086</v>
      </c>
      <c r="I60" s="72"/>
      <c r="J60" s="71" t="s">
        <v>2315</v>
      </c>
      <c r="K60" s="74" t="s">
        <v>2088</v>
      </c>
    </row>
    <row r="61" spans="1:11" ht="30" customHeight="1" x14ac:dyDescent="0.3">
      <c r="A61" s="70">
        <v>58</v>
      </c>
      <c r="B61" s="71" t="s">
        <v>2316</v>
      </c>
      <c r="C61" s="71" t="s">
        <v>2312</v>
      </c>
      <c r="D61" s="71" t="s">
        <v>2020</v>
      </c>
      <c r="E61" s="72" t="s">
        <v>2317</v>
      </c>
      <c r="F61" s="72" t="s">
        <v>2318</v>
      </c>
      <c r="G61" s="73">
        <v>0</v>
      </c>
      <c r="H61" s="73" t="s">
        <v>2086</v>
      </c>
      <c r="I61" s="72"/>
      <c r="J61" s="71" t="s">
        <v>2319</v>
      </c>
      <c r="K61" s="74" t="s">
        <v>2088</v>
      </c>
    </row>
    <row r="62" spans="1:11" ht="30" customHeight="1" x14ac:dyDescent="0.3">
      <c r="A62" s="70">
        <v>59</v>
      </c>
      <c r="B62" s="71" t="s">
        <v>2320</v>
      </c>
      <c r="C62" s="71" t="s">
        <v>2312</v>
      </c>
      <c r="D62" s="71" t="s">
        <v>2020</v>
      </c>
      <c r="E62" s="72" t="s">
        <v>2321</v>
      </c>
      <c r="F62" s="72" t="s">
        <v>2322</v>
      </c>
      <c r="G62" s="73">
        <v>0</v>
      </c>
      <c r="H62" s="73" t="s">
        <v>2086</v>
      </c>
      <c r="I62" s="72"/>
      <c r="J62" s="71" t="s">
        <v>2323</v>
      </c>
      <c r="K62" s="74" t="s">
        <v>2088</v>
      </c>
    </row>
    <row r="63" spans="1:11" ht="30" customHeight="1" x14ac:dyDescent="0.3">
      <c r="A63" s="70">
        <v>60</v>
      </c>
      <c r="B63" s="71" t="s">
        <v>2324</v>
      </c>
      <c r="C63" s="71" t="s">
        <v>2312</v>
      </c>
      <c r="D63" s="71" t="s">
        <v>2020</v>
      </c>
      <c r="E63" s="72" t="s">
        <v>2325</v>
      </c>
      <c r="F63" s="72" t="s">
        <v>2326</v>
      </c>
      <c r="G63" s="73">
        <v>0</v>
      </c>
      <c r="H63" s="73" t="s">
        <v>2086</v>
      </c>
      <c r="I63" s="72"/>
      <c r="J63" s="71" t="s">
        <v>2145</v>
      </c>
      <c r="K63" s="74" t="s">
        <v>2088</v>
      </c>
    </row>
    <row r="64" spans="1:11" ht="30" customHeight="1" x14ac:dyDescent="0.3">
      <c r="A64" s="70">
        <v>61</v>
      </c>
      <c r="B64" s="71" t="s">
        <v>2327</v>
      </c>
      <c r="C64" s="71" t="s">
        <v>2312</v>
      </c>
      <c r="D64" s="71" t="s">
        <v>2020</v>
      </c>
      <c r="E64" s="72" t="s">
        <v>2328</v>
      </c>
      <c r="F64" s="72" t="s">
        <v>2329</v>
      </c>
      <c r="G64" s="73">
        <v>0</v>
      </c>
      <c r="H64" s="73" t="s">
        <v>2086</v>
      </c>
      <c r="I64" s="72"/>
      <c r="J64" s="71" t="s">
        <v>2302</v>
      </c>
      <c r="K64" s="74" t="s">
        <v>2088</v>
      </c>
    </row>
    <row r="65" spans="1:11" ht="30" customHeight="1" x14ac:dyDescent="0.3">
      <c r="A65" s="70">
        <v>62</v>
      </c>
      <c r="B65" s="71" t="s">
        <v>2330</v>
      </c>
      <c r="C65" s="71" t="s">
        <v>2206</v>
      </c>
      <c r="D65" s="71" t="s">
        <v>2018</v>
      </c>
      <c r="E65" s="72" t="s">
        <v>2331</v>
      </c>
      <c r="F65" s="72" t="s">
        <v>2332</v>
      </c>
      <c r="G65" s="73">
        <v>0</v>
      </c>
      <c r="H65" s="73" t="s">
        <v>2086</v>
      </c>
      <c r="I65" s="72"/>
      <c r="J65" s="71" t="s">
        <v>2209</v>
      </c>
      <c r="K65" s="74" t="s">
        <v>2093</v>
      </c>
    </row>
    <row r="66" spans="1:11" ht="30" customHeight="1" x14ac:dyDescent="0.3">
      <c r="A66" s="70">
        <v>63</v>
      </c>
      <c r="B66" s="71" t="s">
        <v>2333</v>
      </c>
      <c r="C66" s="71" t="s">
        <v>2312</v>
      </c>
      <c r="D66" s="71" t="s">
        <v>2018</v>
      </c>
      <c r="E66" s="72" t="s">
        <v>2334</v>
      </c>
      <c r="F66" s="72" t="s">
        <v>2335</v>
      </c>
      <c r="G66" s="73">
        <v>0</v>
      </c>
      <c r="H66" s="73" t="s">
        <v>2086</v>
      </c>
      <c r="I66" s="72"/>
      <c r="J66" s="71" t="s">
        <v>2336</v>
      </c>
      <c r="K66" s="74" t="s">
        <v>2093</v>
      </c>
    </row>
    <row r="67" spans="1:11" ht="30" customHeight="1" x14ac:dyDescent="0.3">
      <c r="A67" s="70">
        <v>64</v>
      </c>
      <c r="B67" s="71" t="s">
        <v>2337</v>
      </c>
      <c r="C67" s="71" t="s">
        <v>2126</v>
      </c>
      <c r="D67" s="71" t="s">
        <v>2020</v>
      </c>
      <c r="E67" s="72" t="s">
        <v>2338</v>
      </c>
      <c r="F67" s="72" t="s">
        <v>2339</v>
      </c>
      <c r="G67" s="73">
        <v>0</v>
      </c>
      <c r="H67" s="73" t="s">
        <v>2086</v>
      </c>
      <c r="I67" s="72"/>
      <c r="J67" s="71" t="s">
        <v>2340</v>
      </c>
      <c r="K67" s="74" t="s">
        <v>2088</v>
      </c>
    </row>
    <row r="68" spans="1:11" ht="30" customHeight="1" x14ac:dyDescent="0.3">
      <c r="A68" s="70">
        <v>65</v>
      </c>
      <c r="B68" s="71" t="s">
        <v>2341</v>
      </c>
      <c r="C68" s="71" t="s">
        <v>2099</v>
      </c>
      <c r="D68" s="71" t="s">
        <v>2020</v>
      </c>
      <c r="E68" s="72" t="s">
        <v>2342</v>
      </c>
      <c r="F68" s="72" t="s">
        <v>2343</v>
      </c>
      <c r="G68" s="73">
        <v>0</v>
      </c>
      <c r="H68" s="73" t="s">
        <v>2086</v>
      </c>
      <c r="I68" s="72"/>
      <c r="J68" s="71" t="s">
        <v>2344</v>
      </c>
      <c r="K68" s="74" t="s">
        <v>2088</v>
      </c>
    </row>
    <row r="69" spans="1:11" ht="30" customHeight="1" x14ac:dyDescent="0.3">
      <c r="A69" s="70">
        <v>66</v>
      </c>
      <c r="B69" s="71" t="s">
        <v>2345</v>
      </c>
      <c r="C69" s="71" t="s">
        <v>2099</v>
      </c>
      <c r="D69" s="71" t="s">
        <v>2020</v>
      </c>
      <c r="E69" s="72" t="s">
        <v>2346</v>
      </c>
      <c r="F69" s="72" t="s">
        <v>2347</v>
      </c>
      <c r="G69" s="73">
        <v>0</v>
      </c>
      <c r="H69" s="73" t="s">
        <v>2086</v>
      </c>
      <c r="I69" s="72"/>
      <c r="J69" s="71" t="s">
        <v>2348</v>
      </c>
      <c r="K69" s="74" t="s">
        <v>2088</v>
      </c>
    </row>
    <row r="70" spans="1:11" ht="30" customHeight="1" x14ac:dyDescent="0.3">
      <c r="A70" s="70">
        <v>67</v>
      </c>
      <c r="B70" s="71" t="s">
        <v>2349</v>
      </c>
      <c r="C70" s="71" t="s">
        <v>2099</v>
      </c>
      <c r="D70" s="71" t="s">
        <v>2020</v>
      </c>
      <c r="E70" s="72" t="s">
        <v>2350</v>
      </c>
      <c r="F70" s="72" t="s">
        <v>2351</v>
      </c>
      <c r="G70" s="73">
        <v>0</v>
      </c>
      <c r="H70" s="73" t="s">
        <v>2086</v>
      </c>
      <c r="I70" s="72"/>
      <c r="J70" s="71" t="s">
        <v>2352</v>
      </c>
      <c r="K70" s="74" t="s">
        <v>2088</v>
      </c>
    </row>
    <row r="71" spans="1:11" ht="30" customHeight="1" x14ac:dyDescent="0.3">
      <c r="A71" s="70">
        <v>68</v>
      </c>
      <c r="B71" s="71" t="s">
        <v>2353</v>
      </c>
      <c r="C71" s="71" t="s">
        <v>2099</v>
      </c>
      <c r="D71" s="71" t="s">
        <v>2020</v>
      </c>
      <c r="E71" s="72" t="s">
        <v>2354</v>
      </c>
      <c r="F71" s="72" t="s">
        <v>2355</v>
      </c>
      <c r="G71" s="73">
        <v>0</v>
      </c>
      <c r="H71" s="73" t="s">
        <v>2086</v>
      </c>
      <c r="I71" s="72"/>
      <c r="J71" s="71" t="s">
        <v>2356</v>
      </c>
      <c r="K71" s="74" t="s">
        <v>2088</v>
      </c>
    </row>
    <row r="72" spans="1:11" ht="30" customHeight="1" x14ac:dyDescent="0.3">
      <c r="A72" s="70">
        <v>69</v>
      </c>
      <c r="B72" s="71" t="s">
        <v>2357</v>
      </c>
      <c r="C72" s="71" t="s">
        <v>2099</v>
      </c>
      <c r="D72" s="71" t="s">
        <v>2021</v>
      </c>
      <c r="E72" s="72" t="s">
        <v>2358</v>
      </c>
      <c r="F72" s="72" t="s">
        <v>2359</v>
      </c>
      <c r="G72" s="73">
        <v>0</v>
      </c>
      <c r="H72" s="73" t="s">
        <v>2086</v>
      </c>
      <c r="I72" s="72"/>
      <c r="J72" s="71" t="s">
        <v>2360</v>
      </c>
      <c r="K72" s="74" t="s">
        <v>2088</v>
      </c>
    </row>
    <row r="73" spans="1:11" ht="30" customHeight="1" x14ac:dyDescent="0.3">
      <c r="A73" s="70">
        <v>70</v>
      </c>
      <c r="B73" s="71" t="s">
        <v>2361</v>
      </c>
      <c r="C73" s="71" t="s">
        <v>2362</v>
      </c>
      <c r="D73" s="71" t="s">
        <v>2018</v>
      </c>
      <c r="E73" s="72" t="s">
        <v>2363</v>
      </c>
      <c r="F73" s="72" t="s">
        <v>2364</v>
      </c>
      <c r="G73" s="73">
        <v>0</v>
      </c>
      <c r="H73" s="73" t="s">
        <v>2086</v>
      </c>
      <c r="I73" s="72"/>
      <c r="J73" s="71" t="s">
        <v>2365</v>
      </c>
      <c r="K73" s="74" t="s">
        <v>2088</v>
      </c>
    </row>
    <row r="74" spans="1:11" ht="30" customHeight="1" x14ac:dyDescent="0.3">
      <c r="A74" s="70">
        <v>71</v>
      </c>
      <c r="B74" s="71" t="s">
        <v>2366</v>
      </c>
      <c r="C74" s="71" t="s">
        <v>2362</v>
      </c>
      <c r="D74" s="71" t="s">
        <v>2019</v>
      </c>
      <c r="E74" s="72" t="s">
        <v>2367</v>
      </c>
      <c r="F74" s="72" t="s">
        <v>2368</v>
      </c>
      <c r="G74" s="73">
        <v>0</v>
      </c>
      <c r="H74" s="73" t="s">
        <v>2086</v>
      </c>
      <c r="I74" s="72"/>
      <c r="J74" s="71" t="s">
        <v>2369</v>
      </c>
      <c r="K74" s="74" t="s">
        <v>2093</v>
      </c>
    </row>
    <row r="75" spans="1:11" ht="30" customHeight="1" x14ac:dyDescent="0.3">
      <c r="A75" s="70">
        <v>72</v>
      </c>
      <c r="B75" s="71" t="s">
        <v>2370</v>
      </c>
      <c r="C75" s="71" t="s">
        <v>2362</v>
      </c>
      <c r="D75" s="71" t="s">
        <v>2019</v>
      </c>
      <c r="E75" s="72" t="s">
        <v>2371</v>
      </c>
      <c r="F75" s="72" t="s">
        <v>2372</v>
      </c>
      <c r="G75" s="73">
        <v>0</v>
      </c>
      <c r="H75" s="73" t="s">
        <v>2086</v>
      </c>
      <c r="I75" s="72"/>
      <c r="J75" s="71" t="s">
        <v>2373</v>
      </c>
      <c r="K75" s="74" t="s">
        <v>2111</v>
      </c>
    </row>
    <row r="76" spans="1:11" ht="30" customHeight="1" x14ac:dyDescent="0.3">
      <c r="A76" s="70">
        <v>73</v>
      </c>
      <c r="B76" s="71" t="s">
        <v>2374</v>
      </c>
      <c r="C76" s="71" t="s">
        <v>2362</v>
      </c>
      <c r="D76" s="71" t="s">
        <v>2020</v>
      </c>
      <c r="E76" s="72" t="s">
        <v>2375</v>
      </c>
      <c r="F76" s="72" t="s">
        <v>2376</v>
      </c>
      <c r="G76" s="73">
        <v>0</v>
      </c>
      <c r="H76" s="73" t="s">
        <v>2086</v>
      </c>
      <c r="I76" s="72"/>
      <c r="J76" s="71" t="s">
        <v>2377</v>
      </c>
      <c r="K76" s="74" t="s">
        <v>2088</v>
      </c>
    </row>
    <row r="77" spans="1:11" ht="30" customHeight="1" x14ac:dyDescent="0.3">
      <c r="A77" s="70">
        <v>74</v>
      </c>
      <c r="B77" s="71" t="s">
        <v>2378</v>
      </c>
      <c r="C77" s="71" t="s">
        <v>2362</v>
      </c>
      <c r="D77" s="71" t="s">
        <v>2019</v>
      </c>
      <c r="E77" s="72" t="s">
        <v>2379</v>
      </c>
      <c r="F77" s="72" t="s">
        <v>2380</v>
      </c>
      <c r="G77" s="73">
        <v>0</v>
      </c>
      <c r="H77" s="73" t="s">
        <v>2086</v>
      </c>
      <c r="I77" s="72"/>
      <c r="J77" s="71" t="s">
        <v>2381</v>
      </c>
      <c r="K77" s="74" t="s">
        <v>2093</v>
      </c>
    </row>
    <row r="78" spans="1:11" ht="30" customHeight="1" x14ac:dyDescent="0.3">
      <c r="A78" s="70">
        <v>75</v>
      </c>
      <c r="B78" s="71" t="s">
        <v>2382</v>
      </c>
      <c r="C78" s="71" t="s">
        <v>2083</v>
      </c>
      <c r="D78" s="71" t="s">
        <v>2021</v>
      </c>
      <c r="E78" s="72" t="s">
        <v>2383</v>
      </c>
      <c r="F78" s="72" t="s">
        <v>2384</v>
      </c>
      <c r="G78" s="73">
        <v>0</v>
      </c>
      <c r="H78" s="73" t="s">
        <v>2086</v>
      </c>
      <c r="I78" s="72"/>
      <c r="J78" s="71" t="s">
        <v>2385</v>
      </c>
      <c r="K78" s="74" t="s">
        <v>2386</v>
      </c>
    </row>
    <row r="79" spans="1:11" ht="30" customHeight="1" thickBot="1" x14ac:dyDescent="0.35">
      <c r="A79" s="75">
        <v>76</v>
      </c>
      <c r="B79" s="76" t="s">
        <v>2387</v>
      </c>
      <c r="C79" s="76" t="s">
        <v>2083</v>
      </c>
      <c r="D79" s="76" t="s">
        <v>2018</v>
      </c>
      <c r="E79" s="77" t="s">
        <v>2388</v>
      </c>
      <c r="F79" s="77" t="s">
        <v>2389</v>
      </c>
      <c r="G79" s="78">
        <v>0</v>
      </c>
      <c r="H79" s="78" t="s">
        <v>2086</v>
      </c>
      <c r="I79" s="77"/>
      <c r="J79" s="76" t="s">
        <v>2390</v>
      </c>
      <c r="K79" s="79" t="s">
        <v>2093</v>
      </c>
    </row>
    <row r="81" spans="1:11" ht="17.399999999999999" x14ac:dyDescent="0.35">
      <c r="A81" s="63" t="s">
        <v>2391</v>
      </c>
      <c r="B81" s="101"/>
      <c r="C81" s="101"/>
      <c r="D81" s="101"/>
      <c r="E81" s="101"/>
      <c r="F81" s="101"/>
      <c r="G81" s="101"/>
      <c r="H81" s="101"/>
      <c r="I81" s="101"/>
      <c r="J81" s="101"/>
      <c r="K81" s="101"/>
    </row>
    <row r="82" spans="1:11" ht="15" thickBot="1" x14ac:dyDescent="0.35"/>
    <row r="83" spans="1:11" x14ac:dyDescent="0.3">
      <c r="B83" s="80" t="s">
        <v>2392</v>
      </c>
      <c r="C83" s="81"/>
      <c r="D83" s="81"/>
      <c r="E83" s="81"/>
      <c r="F83" s="82" t="s">
        <v>2393</v>
      </c>
      <c r="G83" s="82" t="s">
        <v>2394</v>
      </c>
      <c r="H83" s="83" t="s">
        <v>514</v>
      </c>
    </row>
    <row r="84" spans="1:11" x14ac:dyDescent="0.3">
      <c r="B84" s="84" t="s">
        <v>2395</v>
      </c>
      <c r="C84" s="71"/>
      <c r="D84" s="71"/>
      <c r="E84" s="71"/>
      <c r="F84" s="85">
        <f>SUM(G4:G79)</f>
        <v>7</v>
      </c>
      <c r="G84" s="86">
        <f>COUNTA(A4:A79)*4</f>
        <v>304</v>
      </c>
      <c r="H84" s="87">
        <f>IF(G84=0,0,F84/G84)</f>
        <v>2.3026315789473683E-2</v>
      </c>
    </row>
    <row r="85" spans="1:11" x14ac:dyDescent="0.3">
      <c r="B85" s="88" t="s">
        <v>2396</v>
      </c>
      <c r="C85" s="71"/>
      <c r="D85" s="71"/>
      <c r="E85" s="71"/>
      <c r="F85" s="89" cm="1">
        <f t="array" ref="F85">SUMPRODUCT((D4:D79="Critical")*(G4:G79))</f>
        <v>7</v>
      </c>
      <c r="G85" s="86">
        <f>COUNTIF(D4:D79,"Critical")*4</f>
        <v>56</v>
      </c>
      <c r="H85" s="87">
        <f>IF(G85=0,0,F85/G85)</f>
        <v>0.125</v>
      </c>
    </row>
    <row r="86" spans="1:11" x14ac:dyDescent="0.3">
      <c r="B86" s="90" t="s">
        <v>2397</v>
      </c>
      <c r="C86" s="71"/>
      <c r="D86" s="71"/>
      <c r="E86" s="71"/>
      <c r="F86" s="91" cm="1">
        <f t="array" ref="F86">SUMPRODUCT((D4:D79="High")*(G4:G79))</f>
        <v>0</v>
      </c>
      <c r="G86" s="86">
        <f>COUNTIF(D4:D79,"High")*4</f>
        <v>68</v>
      </c>
      <c r="H86" s="87">
        <f>IF(G86=0,0,F86/G86)</f>
        <v>0</v>
      </c>
    </row>
    <row r="87" spans="1:11" x14ac:dyDescent="0.3">
      <c r="B87" s="92" t="s">
        <v>2398</v>
      </c>
      <c r="C87" s="71"/>
      <c r="D87" s="71"/>
      <c r="E87" s="71"/>
      <c r="F87" s="93" cm="1">
        <f t="array" ref="F87">SUMPRODUCT((D4:D79="Medium")*(G4:G79))</f>
        <v>0</v>
      </c>
      <c r="G87" s="86">
        <f>COUNTIF(D4:D79,"Medium")*4</f>
        <v>136</v>
      </c>
      <c r="H87" s="87">
        <f>IF(G87=0,0,F87/G87)</f>
        <v>0</v>
      </c>
    </row>
    <row r="88" spans="1:11" ht="15" thickBot="1" x14ac:dyDescent="0.35">
      <c r="B88" s="94" t="s">
        <v>2399</v>
      </c>
      <c r="C88" s="76"/>
      <c r="D88" s="76"/>
      <c r="E88" s="76"/>
      <c r="F88" s="95" cm="1">
        <f t="array" ref="F88">SUMPRODUCT((D4:D79="Low")*(G4:G79))</f>
        <v>0</v>
      </c>
      <c r="G88" s="96">
        <f>COUNTIF(D4:D79,"Low")*4</f>
        <v>44</v>
      </c>
      <c r="H88" s="97">
        <f>IF(G88=0,0,F88/G88)</f>
        <v>0</v>
      </c>
    </row>
    <row r="90" spans="1:11" ht="15" thickBot="1" x14ac:dyDescent="0.35"/>
    <row r="91" spans="1:11" x14ac:dyDescent="0.3">
      <c r="B91" s="80" t="s">
        <v>2400</v>
      </c>
      <c r="C91" s="81"/>
      <c r="D91" s="81"/>
      <c r="E91" s="81"/>
      <c r="F91" s="82" t="s">
        <v>2401</v>
      </c>
      <c r="G91" s="82" t="s">
        <v>2402</v>
      </c>
      <c r="H91" s="83" t="s">
        <v>2403</v>
      </c>
    </row>
    <row r="92" spans="1:11" x14ac:dyDescent="0.3">
      <c r="B92" s="102" t="s">
        <v>2083</v>
      </c>
      <c r="C92" s="103"/>
      <c r="D92" s="103"/>
      <c r="E92" s="103"/>
      <c r="F92" s="104">
        <f>IFERROR(AVERAGEIF(C4:C79,"Governance &amp; Accountability",G4:G79),0)</f>
        <v>0.28000000000000003</v>
      </c>
      <c r="G92" s="105">
        <f>COUNTIF(C4:C79,"Governance &amp; Accountability")</f>
        <v>25</v>
      </c>
      <c r="H92" s="106">
        <f>COUNTIFS(C4:C79,"Governance &amp; Accountability",H4:H79,"Yes")</f>
        <v>0</v>
      </c>
    </row>
    <row r="93" spans="1:11" x14ac:dyDescent="0.3">
      <c r="B93" s="98" t="s">
        <v>2099</v>
      </c>
      <c r="C93" s="71"/>
      <c r="D93" s="71"/>
      <c r="E93" s="71"/>
      <c r="F93" s="99">
        <f>IFERROR(AVERAGEIF(C4:C79,"Consent &amp; Lawful Basis",G4:G79),0)</f>
        <v>0</v>
      </c>
      <c r="G93" s="86">
        <f>COUNTIF(C4:C79,"Consent &amp; Lawful Basis")</f>
        <v>10</v>
      </c>
      <c r="H93" s="100">
        <f>COUNTIFS(C4:C79,"Consent &amp; Lawful Basis",H4:H79,"Yes")</f>
        <v>0</v>
      </c>
    </row>
    <row r="94" spans="1:11" x14ac:dyDescent="0.3">
      <c r="B94" s="102" t="s">
        <v>2126</v>
      </c>
      <c r="C94" s="103"/>
      <c r="D94" s="103"/>
      <c r="E94" s="103"/>
      <c r="F94" s="104">
        <f>IFERROR(AVERAGEIF(C4:C79,"Consent &amp; Notices",G4:G79),0)</f>
        <v>0</v>
      </c>
      <c r="G94" s="105">
        <f>COUNTIF(C4:C79,"Consent &amp; Notices")</f>
        <v>5</v>
      </c>
      <c r="H94" s="106">
        <f>COUNTIFS(C4:C79,"Consent &amp; Notices",H4:H79,"Yes")</f>
        <v>0</v>
      </c>
    </row>
    <row r="95" spans="1:11" x14ac:dyDescent="0.3">
      <c r="B95" s="98" t="s">
        <v>437</v>
      </c>
      <c r="C95" s="71"/>
      <c r="D95" s="71"/>
      <c r="E95" s="71"/>
      <c r="F95" s="99">
        <f>IFERROR(AVERAGEIF(C4:C79,"Data Principal Rights",G4:G79),0)</f>
        <v>0</v>
      </c>
      <c r="G95" s="86">
        <f>COUNTIF(C4:C79,"Data Principal Rights")</f>
        <v>10</v>
      </c>
      <c r="H95" s="100">
        <f>COUNTIFS(C4:C79,"Data Principal Rights",H4:H79,"Yes")</f>
        <v>0</v>
      </c>
    </row>
    <row r="96" spans="1:11" x14ac:dyDescent="0.3">
      <c r="B96" s="102" t="s">
        <v>2206</v>
      </c>
      <c r="C96" s="103"/>
      <c r="D96" s="103"/>
      <c r="E96" s="103"/>
      <c r="F96" s="104">
        <f>IFERROR(AVERAGEIF(C4:C79,"Security &amp; Safeguards",G4:G79),0)</f>
        <v>0</v>
      </c>
      <c r="G96" s="105">
        <f>COUNTIF(C4:C79,"Security &amp; Safeguards")</f>
        <v>3</v>
      </c>
      <c r="H96" s="106">
        <f>COUNTIFS(C4:C79,"Security &amp; Safeguards",H4:H79,"Yes")</f>
        <v>0</v>
      </c>
    </row>
    <row r="97" spans="2:8" x14ac:dyDescent="0.3">
      <c r="B97" s="98" t="s">
        <v>2211</v>
      </c>
      <c r="C97" s="71"/>
      <c r="D97" s="71"/>
      <c r="E97" s="71"/>
      <c r="F97" s="99">
        <f>IFERROR(AVERAGEIF(C4:C79,"Breach Management",G4:G79),0)</f>
        <v>0</v>
      </c>
      <c r="G97" s="86">
        <f>COUNTIF(C4:C79,"Breach Management")</f>
        <v>2</v>
      </c>
      <c r="H97" s="100">
        <f>COUNTIFS(C4:C79,"Breach Management",H4:H79,"Yes")</f>
        <v>0</v>
      </c>
    </row>
    <row r="98" spans="2:8" x14ac:dyDescent="0.3">
      <c r="B98" s="102" t="s">
        <v>2249</v>
      </c>
      <c r="C98" s="103"/>
      <c r="D98" s="103"/>
      <c r="E98" s="103"/>
      <c r="F98" s="104">
        <f>IFERROR(AVERAGEIF(C4:C79,"Cross-Border Transfers",G4:G79),0)</f>
        <v>0</v>
      </c>
      <c r="G98" s="105">
        <f>COUNTIF(C4:C79,"Cross-Border Transfers")</f>
        <v>8</v>
      </c>
      <c r="H98" s="106">
        <f>COUNTIFS(C4:C79,"Cross-Border Transfers",H4:H79,"Yes")</f>
        <v>0</v>
      </c>
    </row>
    <row r="99" spans="2:8" x14ac:dyDescent="0.3">
      <c r="B99" s="98" t="s">
        <v>2190</v>
      </c>
      <c r="C99" s="71"/>
      <c r="D99" s="71"/>
      <c r="E99" s="71"/>
      <c r="F99" s="99">
        <f>IFERROR(AVERAGEIF(C4:C79,"Processors &amp; Third Parties",G4:G79),0)</f>
        <v>0</v>
      </c>
      <c r="G99" s="86">
        <f>COUNTIF(C4:C79,"Processors &amp; Third Parties")</f>
        <v>1</v>
      </c>
      <c r="H99" s="100">
        <f>COUNTIFS(C4:C79,"Processors &amp; Third Parties",H4:H79,"Yes")</f>
        <v>0</v>
      </c>
    </row>
    <row r="100" spans="2:8" x14ac:dyDescent="0.3">
      <c r="B100" s="102" t="s">
        <v>2299</v>
      </c>
      <c r="C100" s="103"/>
      <c r="D100" s="103"/>
      <c r="E100" s="103"/>
      <c r="F100" s="104">
        <f>IFERROR(AVERAGEIF(C4:C79,"Data Lifecycle Management",G4:G79),0)</f>
        <v>0</v>
      </c>
      <c r="G100" s="105">
        <f>COUNTIF(C4:C79,"Data Lifecycle Management")</f>
        <v>1</v>
      </c>
      <c r="H100" s="106">
        <f>COUNTIFS(C4:C79,"Data Lifecycle Management",H4:H79,"Yes")</f>
        <v>0</v>
      </c>
    </row>
    <row r="101" spans="2:8" x14ac:dyDescent="0.3">
      <c r="B101" s="98" t="s">
        <v>2312</v>
      </c>
      <c r="C101" s="71"/>
      <c r="D101" s="71"/>
      <c r="E101" s="71"/>
      <c r="F101" s="99">
        <f>IFERROR(AVERAGEIF(C4:C79,"Processing Principles",G4:G79),0)</f>
        <v>0</v>
      </c>
      <c r="G101" s="86">
        <f>COUNTIF(C4:C79,"Processing Principles")</f>
        <v>6</v>
      </c>
      <c r="H101" s="100">
        <f>COUNTIFS(C4:C79,"Processing Principles",H4:H79,"Yes")</f>
        <v>0</v>
      </c>
    </row>
    <row r="102" spans="2:8" ht="15" thickBot="1" x14ac:dyDescent="0.35">
      <c r="B102" s="107" t="s">
        <v>2362</v>
      </c>
      <c r="C102" s="108"/>
      <c r="D102" s="108"/>
      <c r="E102" s="108"/>
      <c r="F102" s="109">
        <f>IFERROR(AVERAGEIF(C4:C79,"Privacy Programme Mgmt",G4:G79),0)</f>
        <v>0</v>
      </c>
      <c r="G102" s="110">
        <f>COUNTIF(C4:C79,"Privacy Programme Mgmt")</f>
        <v>5</v>
      </c>
      <c r="H102" s="111">
        <f>COUNTIFS(C4:C79,"Privacy Programme Mgmt",H4:H79,"Yes")</f>
        <v>0</v>
      </c>
    </row>
  </sheetData>
  <mergeCells count="3">
    <mergeCell ref="A1:K1"/>
    <mergeCell ref="A2:K2"/>
    <mergeCell ref="B81:K81"/>
  </mergeCells>
  <conditionalFormatting sqref="A4:K79">
    <cfRule type="expression" dxfId="11" priority="1">
      <formula>$D4="Critical"</formula>
    </cfRule>
  </conditionalFormatting>
  <conditionalFormatting sqref="A4:K79">
    <cfRule type="expression" dxfId="10" priority="2">
      <formula>$D4="High"</formula>
    </cfRule>
  </conditionalFormatting>
  <conditionalFormatting sqref="A4:K79">
    <cfRule type="expression" dxfId="9" priority="3">
      <formula>$D4="Medium"</formula>
    </cfRule>
  </conditionalFormatting>
  <conditionalFormatting sqref="A4:K79">
    <cfRule type="expression" dxfId="8" priority="4">
      <formula>$D4="Low"</formula>
    </cfRule>
  </conditionalFormatting>
  <conditionalFormatting sqref="G4:G79">
    <cfRule type="colorScale" priority="5">
      <colorScale>
        <cfvo type="min"/>
        <cfvo type="max"/>
        <color rgb="FFFF7128"/>
        <color rgb="FFFFEF9C"/>
      </colorScale>
    </cfRule>
  </conditionalFormatting>
  <conditionalFormatting sqref="A4:K79">
    <cfRule type="expression" dxfId="7" priority="6">
      <formula>$D4="Critical"</formula>
    </cfRule>
  </conditionalFormatting>
  <conditionalFormatting sqref="A4:K79">
    <cfRule type="expression" dxfId="6" priority="7">
      <formula>$D4="High"</formula>
    </cfRule>
  </conditionalFormatting>
  <conditionalFormatting sqref="A4:K79">
    <cfRule type="expression" dxfId="5" priority="8">
      <formula>$D4="Medium"</formula>
    </cfRule>
  </conditionalFormatting>
  <conditionalFormatting sqref="A4:K79">
    <cfRule type="expression" dxfId="4" priority="9">
      <formula>$D4="Low"</formula>
    </cfRule>
  </conditionalFormatting>
  <conditionalFormatting sqref="A4:K79">
    <cfRule type="expression" dxfId="3" priority="10">
      <formula>$D4="Critical"</formula>
    </cfRule>
  </conditionalFormatting>
  <conditionalFormatting sqref="A4:K79">
    <cfRule type="expression" dxfId="2" priority="11">
      <formula>$D4="High"</formula>
    </cfRule>
  </conditionalFormatting>
  <conditionalFormatting sqref="A4:K79">
    <cfRule type="expression" dxfId="1" priority="12">
      <formula>$D4="Medium"</formula>
    </cfRule>
  </conditionalFormatting>
  <conditionalFormatting sqref="A4:K79">
    <cfRule type="expression" dxfId="0" priority="13">
      <formula>$D4="Low"</formula>
    </cfRule>
  </conditionalFormatting>
  <dataValidations count="2">
    <dataValidation type="whole" allowBlank="1" showInputMessage="1" showErrorMessage="1" errorTitle="Invalid" error="Enter 0 to 4" promptTitle="Maturity (0-4)" prompt="0=Absent, 1=Initial, 2=Developing, 3=Defined, 4=Managed" sqref="G4:G79" xr:uid="{9E0D0ABA-F9E1-4549-A692-D360883751F7}">
      <formula1>0</formula1>
      <formula2>4</formula2>
    </dataValidation>
    <dataValidation type="list" allowBlank="1" showInputMessage="1" showErrorMessage="1" promptTitle="Evidence Available?" prompt="Select Yes or No" sqref="H4:H79" xr:uid="{B2224927-E2FA-49B6-A213-B9D8AA8412E9}">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ReadMe</vt:lpstr>
      <vt:lpstr>Express Evaluation</vt:lpstr>
      <vt:lpstr>RACI Matrix</vt:lpstr>
      <vt:lpstr>Assessment + Implementation</vt:lpstr>
      <vt:lpstr>Granular Controls</vt:lpstr>
      <vt:lpstr>Compliance Dashboard</vt:lpstr>
      <vt:lpstr>Framework Guide</vt:lpstr>
      <vt:lpstr>Claude Log</vt:lpstr>
      <vt:lpstr>EP - Self Assessment</vt:lpstr>
      <vt:lpstr>DPDP Assessment</vt:lpstr>
      <vt:lpstr>ReadMe!Print_Area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Archit Chaturvedi</dc:creator>
  <dc:description/>
  <cp:lastModifiedBy>Archit Chaturvedi</cp:lastModifiedBy>
  <cp:revision>0</cp:revision>
  <dcterms:created xsi:type="dcterms:W3CDTF">2026-02-23T10:44:26Z</dcterms:created>
  <dcterms:modified xsi:type="dcterms:W3CDTF">2026-03-01T12:57:46Z</dcterms:modified>
  <dc:language>en-US</dc:language>
</cp:coreProperties>
</file>